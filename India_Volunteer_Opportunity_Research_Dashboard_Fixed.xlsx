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d9bcd08a4749019/Desktop/"/>
    </mc:Choice>
  </mc:AlternateContent>
  <xr:revisionPtr revIDLastSave="0" documentId="8_{800257FF-2320-4E5D-B7F6-FA38F6A45FF1}" xr6:coauthVersionLast="47" xr6:coauthVersionMax="47" xr10:uidLastSave="{00000000-0000-0000-0000-000000000000}"/>
  <bookViews>
    <workbookView xWindow="-108" yWindow="-108" windowWidth="23256" windowHeight="12456" xr2:uid="{00000000-000D-0000-FFFF-FFFF00000000}"/>
  </bookViews>
  <sheets>
    <sheet name="Executive Dashboard" sheetId="1" r:id="rId1"/>
    <sheet name="Opportunity Database" sheetId="2" r:id="rId2"/>
    <sheet name="Research Sources" sheetId="3" r:id="rId3"/>
    <sheet name="Insights &amp; Findings" sheetId="4" r:id="rId4"/>
  </sheets>
  <definedNames>
    <definedName name="_xlnm._FilterDatabase" localSheetId="3" hidden="1">'Insights &amp; Findings'!$A$1:$F$2</definedName>
    <definedName name="_xlnm._FilterDatabase" localSheetId="1" hidden="1">'Opportunity Database'!$A$1:$S$17</definedName>
    <definedName name="_xlnm._FilterDatabase" localSheetId="2" hidden="1">'Research Sources'!$A$1:$G$17</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4" l="1"/>
  <c r="B15" i="4"/>
  <c r="B14" i="4"/>
  <c r="B13" i="4"/>
  <c r="B12" i="4"/>
  <c r="B11" i="4"/>
  <c r="T13" i="1"/>
  <c r="T12" i="1"/>
  <c r="T11" i="1"/>
  <c r="T10" i="1"/>
  <c r="M10" i="1"/>
  <c r="J10" i="1"/>
  <c r="G10" i="1"/>
  <c r="D10" i="1"/>
  <c r="A10" i="1"/>
  <c r="T9" i="1"/>
  <c r="T8" i="1"/>
  <c r="T7" i="1"/>
  <c r="M7" i="1"/>
  <c r="J7" i="1"/>
  <c r="G7" i="1"/>
  <c r="D7" i="1"/>
  <c r="A7" i="1"/>
  <c r="Z6" i="1"/>
  <c r="W6" i="1"/>
  <c r="T6" i="1"/>
  <c r="AC5" i="1"/>
  <c r="T5" i="1"/>
  <c r="T4" i="1"/>
</calcChain>
</file>

<file path=xl/sharedStrings.xml><?xml version="1.0" encoding="utf-8"?>
<sst xmlns="http://schemas.openxmlformats.org/spreadsheetml/2006/main" count="512" uniqueCount="258">
  <si>
    <t>INDIA VOLUNTEER &amp; SOCIAL IMPACT OPPORTUNITY EXPLORER</t>
  </si>
  <si>
    <t>Social Impact Sector</t>
  </si>
  <si>
    <t>Count</t>
  </si>
  <si>
    <t>Opportunity Type</t>
  </si>
  <si>
    <t>Work Mode</t>
  </si>
  <si>
    <t>Current Status</t>
  </si>
  <si>
    <t>Compensation</t>
  </si>
  <si>
    <t>Education</t>
  </si>
  <si>
    <t>Internship</t>
  </si>
  <si>
    <t>Remote</t>
  </si>
  <si>
    <t>Open</t>
  </si>
  <si>
    <t>Confirmed paid</t>
  </si>
  <si>
    <t>Education &amp; Child Nutrition</t>
  </si>
  <si>
    <t>Volunteer Programme</t>
  </si>
  <si>
    <t>Hybrid</t>
  </si>
  <si>
    <t>Upcoming</t>
  </si>
  <si>
    <t>Unpaid / volunteer</t>
  </si>
  <si>
    <t>Education &amp; Digital Inclusion</t>
  </si>
  <si>
    <t>Community Development</t>
  </si>
  <si>
    <t>On-site</t>
  </si>
  <si>
    <t>Closed</t>
  </si>
  <si>
    <t>Not specified / other</t>
  </si>
  <si>
    <t>KEY PERFORMANCE INDICATORS</t>
  </si>
  <si>
    <t>Education &amp; Inclusion</t>
  </si>
  <si>
    <t>Unspecified</t>
  </si>
  <si>
    <t>Unverified</t>
  </si>
  <si>
    <t>Total opportunities researched</t>
  </si>
  <si>
    <t>Verified open opportunities</t>
  </si>
  <si>
    <t>Volunteer programmes</t>
  </si>
  <si>
    <t>Internships</t>
  </si>
  <si>
    <t>Fellowships</t>
  </si>
  <si>
    <t>Environment &amp; Sustainability</t>
  </si>
  <si>
    <t>Food Security &amp; Community Welfare</t>
  </si>
  <si>
    <t>Fundraising &amp; NGO Operations</t>
  </si>
  <si>
    <t>Confirmed paid / stipend records</t>
  </si>
  <si>
    <t>Remote opportunities</t>
  </si>
  <si>
    <t>Announced deadlines</t>
  </si>
  <si>
    <t>Distinct organizations</t>
  </si>
  <si>
    <t>Needs further verification</t>
  </si>
  <si>
    <t>Legal Aid &amp; Social Development</t>
  </si>
  <si>
    <t>Livelihoods &amp; Community Development</t>
  </si>
  <si>
    <t>RESEARCH SCOPE NOTE</t>
  </si>
  <si>
    <t>This version includes only India-based foundations/NGOs and their official programme pages. No international foundation records or government internship portals are included. Many records are programme pathways rather than confirmed live vacancies; check the official page before applying.</t>
  </si>
  <si>
    <t>Opportunity ID</t>
  </si>
  <si>
    <t>Organization Name</t>
  </si>
  <si>
    <t>Opportunity / Programme Title</t>
  </si>
  <si>
    <t>Description</t>
  </si>
  <si>
    <t>Eligibility Criteria</t>
  </si>
  <si>
    <t>Required Qualifications / Skills</t>
  </si>
  <si>
    <t>Target Age Group</t>
  </si>
  <si>
    <t>Location</t>
  </si>
  <si>
    <t>Duration</t>
  </si>
  <si>
    <t>Stipend / Compensation</t>
  </si>
  <si>
    <t>Application Deadline</t>
  </si>
  <si>
    <t>Direct Application Link</t>
  </si>
  <si>
    <t>Official Source URL</t>
  </si>
  <si>
    <t>Date Verified</t>
  </si>
  <si>
    <t>Additional Notes</t>
  </si>
  <si>
    <t>IVO-001</t>
  </si>
  <si>
    <t>InAmigos Foundation</t>
  </si>
  <si>
    <t>Project SEVA – Food Distribution Volunteer</t>
  </si>
  <si>
    <t>Support food distribution activities and related community outreach. The official page lists this as a current volunteer opportunity.</t>
  </si>
  <si>
    <t>Apply through the foundation's volunteer page and confirm local activity details.</t>
  </si>
  <si>
    <t>Community service and reliability; role-specific requirements not stated.</t>
  </si>
  <si>
    <t>Not specified</t>
  </si>
  <si>
    <t>Nationwide</t>
  </si>
  <si>
    <t>Varies by activity</t>
  </si>
  <si>
    <t>Not announced</t>
  </si>
  <si>
    <t>https://inamigos-foundation-website.vercel.app/volunteer</t>
  </si>
  <si>
    <t>Official page lists Project SEVA; specific local slots and current intake not independently confirmed.</t>
  </si>
  <si>
    <t>IVO-002</t>
  </si>
  <si>
    <t>Project PRAKRITI – Plantation Drive Volunteer</t>
  </si>
  <si>
    <t>Participate in plantation drives listed by the foundation across multiple cities.</t>
  </si>
  <si>
    <t>Register through the foundation's volunteer page; confirm local drive date and location.</t>
  </si>
  <si>
    <t>Interest in environmental activities; other requirements not stated.</t>
  </si>
  <si>
    <t>Multiple cities</t>
  </si>
  <si>
    <t>Monthly (as described on page; reconfirm)</t>
  </si>
  <si>
    <t>Official page lists Project PRAKRITI; next event date and current capacity need confirmation.</t>
  </si>
  <si>
    <t>IVO-003</t>
  </si>
  <si>
    <t>Project BACHPANSHALA – Teaching Volunteer</t>
  </si>
  <si>
    <t>Support teaching activities at local centres through the foundation's volunteer programme.</t>
  </si>
  <si>
    <t>Register through the official volunteer page and confirm centre-level requirements.</t>
  </si>
  <si>
    <t>Interest in education and working with children; exact requirements not stated.</t>
  </si>
  <si>
    <t>Local centres</t>
  </si>
  <si>
    <t>Flexible (as described on page; reconfirm)</t>
  </si>
  <si>
    <t>Official page lists Project BACHPANSHALA; centre openings and safeguarding requirements should be confirmed.</t>
  </si>
  <si>
    <t>IVO-004</t>
  </si>
  <si>
    <t>Akshaya Patra Foundation</t>
  </si>
  <si>
    <t>Online Cyber Advocate</t>
  </si>
  <si>
    <t>Promote the foundation's work online by sharing official campaigns and awareness material.</t>
  </si>
  <si>
    <t>Use the official volunteering page/form or contact listed there.</t>
  </si>
  <si>
    <t>Access to online channels and willingness to share official information.</t>
  </si>
  <si>
    <t>Remote / online activity explicitly described</t>
  </si>
  <si>
    <t>Flexible</t>
  </si>
  <si>
    <t>Unpaid / volunteer programme</t>
  </si>
  <si>
    <t>https://www.akshayapatra.org/volunteering-opportunities</t>
  </si>
  <si>
    <t>Official page describes online volunteering; confirm current onboarding steps.</t>
  </si>
  <si>
    <t>IVO-005</t>
  </si>
  <si>
    <t>Guest Blogger / Blogging Volunteer</t>
  </si>
  <si>
    <t>Contribute blog content or guest posts to help communicate the foundation's work.</t>
  </si>
  <si>
    <t>Contact the foundation through the official volunteering page.</t>
  </si>
  <si>
    <t>Writing and communication skills are relevant; editorial requirements not specified.</t>
  </si>
  <si>
    <t>Online contribution described</t>
  </si>
  <si>
    <t>A volunteer pathway on the official page, not a salaried content role.</t>
  </si>
  <si>
    <t>IVO-006</t>
  </si>
  <si>
    <t>Social Media Volunteer</t>
  </si>
  <si>
    <t>Communications &amp; Fundraising</t>
  </si>
  <si>
    <t>Help amplify official campaigns and content through personal or community social channels.</t>
  </si>
  <si>
    <t>Register/contact using the official volunteering page.</t>
  </si>
  <si>
    <t>Social media familiarity and responsible sharing of official material.</t>
  </si>
  <si>
    <t>Online activity described</t>
  </si>
  <si>
    <t>Confirm current volunteer intake and any campaign-specific instructions.</t>
  </si>
  <si>
    <t>IVO-007</t>
  </si>
  <si>
    <t>Online Fundraising Campaign Volunteer</t>
  </si>
  <si>
    <t>Create or share fundraising campaigns through the foundation's official platform to support its meal programmes.</t>
  </si>
  <si>
    <t>Use the official volunteering page and follow the foundation's fundraising process.</t>
  </si>
  <si>
    <t>Communication and community outreach; follow official fundraising rules.</t>
  </si>
  <si>
    <t>Online campaign activity described</t>
  </si>
  <si>
    <t>Campaign-dependent</t>
  </si>
  <si>
    <t>Confirm approval process and use only official donation/fundraising links.</t>
  </si>
  <si>
    <t>IVO-008</t>
  </si>
  <si>
    <t>Goonj</t>
  </si>
  <si>
    <t>Community Warriors Internship</t>
  </si>
  <si>
    <t>Short-format engagement introducing school students to Goonj's work and community initiatives.</t>
  </si>
  <si>
    <t>Use the official internship page; submit the requested application details.</t>
  </si>
  <si>
    <t>Official page says Grade 9–12 students can apply; check current cohort instructions.</t>
  </si>
  <si>
    <t>School students (Grades 9–12)</t>
  </si>
  <si>
    <t>Multiple Goonj locations / activity-dependent</t>
  </si>
  <si>
    <t>3 or 6 weeks (tracks described on page)</t>
  </si>
  <si>
    <t>Unpaid</t>
  </si>
  <si>
    <t>https://goonj.org/internship/</t>
  </si>
  <si>
    <t>Official page describes tracks and durations; current cohort availability not confirmed.</t>
  </si>
  <si>
    <t>IVO-009</t>
  </si>
  <si>
    <t>Social Internship for College Students</t>
  </si>
  <si>
    <t>On-ground social-sector exposure through Goonj initiatives and operational activities.</t>
  </si>
  <si>
    <t>Email the organization as directed on the official internship page, including resume, dates, and preferred location.</t>
  </si>
  <si>
    <t>Undergraduate or postgraduate students; ability to commit to the stated schedule.</t>
  </si>
  <si>
    <t>College students / UG or PG</t>
  </si>
  <si>
    <t>Delhi, Bengaluru, Chennai, Hyderabad, Dehradun, Kolkata, Kochi, Mumbai and field locations</t>
  </si>
  <si>
    <t>Minimum 1 month; page describes full-time schedule</t>
  </si>
  <si>
    <t>Official page describes eligibility and unpaid status; confirm dates and location with Goonj.</t>
  </si>
  <si>
    <t>IVO-010</t>
  </si>
  <si>
    <t>Joy of Sharing Month (JSM) Internship</t>
  </si>
  <si>
    <t>Support campaign planning, outreach, volunteer engagement, stakeholder coordination, documentation, awareness and resource drives.</t>
  </si>
  <si>
    <t>Apply through the form linked on Goonj's official internship page.</t>
  </si>
  <si>
    <t>Interest in campaign execution, communication, documentation or community work; detailed selection criteria apply.</t>
  </si>
  <si>
    <t>Young people / college students (as described on page)</t>
  </si>
  <si>
    <t>Location and mode to be confirmed with Goonj</t>
  </si>
  <si>
    <t>3 months (subject to review, per page)</t>
  </si>
  <si>
    <t>Not specified on this programme section</t>
  </si>
  <si>
    <t>Programme described on official page; confirm next intake, compensation, and application link.</t>
  </si>
  <si>
    <t>IVO-011</t>
  </si>
  <si>
    <t>Paid Urban Internship</t>
  </si>
  <si>
    <t>Internship focused on urban-rural development and hands-on work across Goonj's initiatives.</t>
  </si>
  <si>
    <t>Use the application link on the official internship page and follow its selection process.</t>
  </si>
  <si>
    <t>Interest in social change and community development; role-specific criteria not fully stated.</t>
  </si>
  <si>
    <t>Goonj office / location to be confirmed</t>
  </si>
  <si>
    <t>3 months (as described on page)</t>
  </si>
  <si>
    <t>Paid (official page labels it paid; amount not specified)</t>
  </si>
  <si>
    <t>Amount, exact eligibility, work mode and current intake require confirmation.</t>
  </si>
  <si>
    <t>IVO-012</t>
  </si>
  <si>
    <t>Pratham Education Foundation</t>
  </si>
  <si>
    <t>Intern – Inclusive Education Team</t>
  </si>
  <si>
    <t>Support educational content development, programme implementation documentation, engagement tracking and basic data compilation/reporting.</t>
  </si>
  <si>
    <t>Official role page links to the application form.</t>
  </si>
  <si>
    <t>UG/PG students in Education, Social Work, Psychology, Development Studies or related fields; documentation and organisation skills; Hindi/English preferred.</t>
  </si>
  <si>
    <t>UG / PG students</t>
  </si>
  <si>
    <t>Hybrid, Delhi</t>
  </si>
  <si>
    <t>1–2 months; possible extension</t>
  </si>
  <si>
    <t>Not specified; certificate and recommendation letter listed</t>
  </si>
  <si>
    <t>https://www.pratham.org/2026/07/09/intern-inclusive-education-team/</t>
  </si>
  <si>
    <t>Official listing dated 9 July 2026 and current internship page lists inclusive education among open internships; reconfirm before applying.</t>
  </si>
  <si>
    <t>IVO-013</t>
  </si>
  <si>
    <t>Intern – Legal Team</t>
  </si>
  <si>
    <t>Internship vacancy listed by Pratham's official internships page; role details should be checked on the linked listing.</t>
  </si>
  <si>
    <t>Open the official internships page and select the Legal Team listing.</t>
  </si>
  <si>
    <t>Eligibility and skills must be confirmed from the individual listing.</t>
  </si>
  <si>
    <t>Delhi office listed for internships; role location to confirm</t>
  </si>
  <si>
    <t>https://www.pratham.org/get-involved/internships/</t>
  </si>
  <si>
    <t>Official page labels this an open internship, but detailed role page/current application availability was not independently confirmed.</t>
  </si>
  <si>
    <t>IVO-014</t>
  </si>
  <si>
    <t>Waste Pickers Welfare Foundation</t>
  </si>
  <si>
    <t>Student Internship – Grassroots Research</t>
  </si>
  <si>
    <t>Field exposure in teaching, community mobilisation, research and non-profit administration with waste-picker communities in East Delhi.</t>
  </si>
  <si>
    <t>Email resume and a brief statement of purpose to the address shown on the official page.</t>
  </si>
  <si>
    <t>Relevant fields listed include Social Work, Education, Sociology, Public Policy and Management.</t>
  </si>
  <si>
    <t>University students</t>
  </si>
  <si>
    <t>East Delhi / Delhi NCR</t>
  </si>
  <si>
    <t>https://www.wwfngo.org/get-involved/internship</t>
  </si>
  <si>
    <t>Official page gives application instructions; confirm current intake and any costs/terms directly.</t>
  </si>
  <si>
    <t>IVO-015</t>
  </si>
  <si>
    <t>Community Volunteer – Education &amp; Digital Literacy</t>
  </si>
  <si>
    <t>Volunteer to teach children, support digital literacy workshops, health camps or youth mentoring.</t>
  </si>
  <si>
    <t>Use the official get-involved page to apply or contact the foundation.</t>
  </si>
  <si>
    <t>Interest in community work; role-specific expectations should be agreed with the foundation.</t>
  </si>
  <si>
    <t>Delhi NCR</t>
  </si>
  <si>
    <t>Flexible / to be agreed</t>
  </si>
  <si>
    <t>https://wwfngo.org/get-involved</t>
  </si>
  <si>
    <t>Official page describes ways to contribute; current local scheduling needs confirmation.</t>
  </si>
  <si>
    <t>IVO-016</t>
  </si>
  <si>
    <t>U&amp;I</t>
  </si>
  <si>
    <t>Education Volunteer Programme</t>
  </si>
  <si>
    <t>Volunteer at a local centre to support children's learning, including English, mathematics or life skills.</t>
  </si>
  <si>
    <t>Apply through the official volunteer page and select a relevant centre/city.</t>
  </si>
  <si>
    <t>Teaching interest and ability to commit to the centre's schedule; exact criteria vary.</t>
  </si>
  <si>
    <t>Multiple cities / local centres</t>
  </si>
  <si>
    <t>Programme page describes June 2026–March 2027; reconfirm cohort</t>
  </si>
  <si>
    <t>https://www.uandi.org.in/volunteer</t>
  </si>
  <si>
    <t>Official page describes the programme; current seats and location-specific onboarding should be checked.</t>
  </si>
  <si>
    <t>Programme Title</t>
  </si>
  <si>
    <t>Application URL</t>
  </si>
  <si>
    <t>Verification Date</t>
  </si>
  <si>
    <t>Verification Outcome</t>
  </si>
  <si>
    <t>Notes / Unavailable Information</t>
  </si>
  <si>
    <t>Methodology</t>
  </si>
  <si>
    <t>Scope</t>
  </si>
  <si>
    <t>India-based foundations and NGOs only. International foundation records and government internship portals were excluded.</t>
  </si>
  <si>
    <t>Verification date</t>
  </si>
  <si>
    <t>28 September 2026</t>
  </si>
  <si>
    <t>Method</t>
  </si>
  <si>
    <t>Official programme pages were used to record opportunities or structured volunteering pathways. Where an official page did not prove a live vacancy, status remains Unverified.</t>
  </si>
  <si>
    <t>Status definitions</t>
  </si>
  <si>
    <t>Open = official source indicates a current vacancy; Upcoming = an official future window is published; Closed = verified expired cycle; Unverified = live intake could not be confirmed.</t>
  </si>
  <si>
    <t>Limitations</t>
  </si>
  <si>
    <t>This is a curated convenience sample, not a census of opportunities in India. Some entries are distinct programme pathways hosted on the same foundation page, not separate job vacancies. Stipend, work mode, deadline, and eligibility are left unspecified when the official page does not support them.</t>
  </si>
  <si>
    <t>Student safety</t>
  </si>
  <si>
    <t>Recheck the official page before applying. Confirm duties, schedule, compensation, location, safeguarding, and selection steps directly with the foundation.</t>
  </si>
  <si>
    <t>INSIGHTS &amp; FINDINGS</t>
  </si>
  <si>
    <t>Executive Summary</t>
  </si>
  <si>
    <t>This India-only sample includes 16 opportunity pathways from Indian foundations and NGOs. It combines volunteering and internships across education, community development, food security, environment, fundraising and digital inclusion. Availability is deliberately conservative: only one listing is marked Open based on an official page, while most records require confirmation of current intake. This is a starting list, not a claim about the whole Indian social-impact sector.</t>
  </si>
  <si>
    <t>Finding</t>
  </si>
  <si>
    <t>Evidence / calculation</t>
  </si>
  <si>
    <t>Interpretation / action</t>
  </si>
  <si>
    <t>Coverage target reached</t>
  </si>
  <si>
    <t>16 distinct programme pathways from India-based foundations/NGOs.</t>
  </si>
  <si>
    <t>The workbook now meets the minimum 15-record target; several are pathways rather than live vacancies.</t>
  </si>
  <si>
    <t>Internship pathways are represented</t>
  </si>
  <si>
    <t>Check eligibility and duration carefully; some programmes have student-level or location constraints.</t>
  </si>
  <si>
    <t>Volunteer pathways are represented</t>
  </si>
  <si>
    <t>Ask about time commitment, supervision, and child/community safeguarding where relevant.</t>
  </si>
  <si>
    <t>Only one record is marked Open</t>
  </si>
  <si>
    <t>This status is limited to the Pratham Inclusive Education internship listing; reconfirm before applying.</t>
  </si>
  <si>
    <t>Most records need a fresh availability check</t>
  </si>
  <si>
    <t>Unverified does not mean closed. It means the official page did not conclusively establish current intake.</t>
  </si>
  <si>
    <t>Deadlines are mostly not announced</t>
  </si>
  <si>
    <t>Contact the foundation or check its official page for the next cohort and deadline.</t>
  </si>
  <si>
    <t>Compensation varies by programme</t>
  </si>
  <si>
    <t>Volunteer roles and unpaid internships should not be treated as paid work; confirm written terms.</t>
  </si>
  <si>
    <t>The sample is not nationally representative</t>
  </si>
  <si>
    <t>All records come from a curated set of official foundation/NGO pages.</t>
  </si>
  <si>
    <t>Use it as a practical starting list, not as an estimate of all opportunities in India.</t>
  </si>
  <si>
    <t>Actionable Recommendations for Students</t>
  </si>
  <si>
    <t>1. Start with the official programme page and confirm that applications are currently being accepted.</t>
  </si>
  <si>
    <t>2. Check eligibility, location, duration, weekly hours, deadline, and stipend before committing.</t>
  </si>
  <si>
    <t>3. For teaching or child-facing roles, ask about safeguarding, supervision, and any required checks.</t>
  </si>
  <si>
    <t>4. Keep a tracker of application date, contact person, response, and follow-up date.</t>
  </si>
  <si>
    <t>5. Do not assume a missing stipend means a role is paid; obtain written confirmation.</t>
  </si>
  <si>
    <t xml:space="preserve">Indian Foundations &amp; NGOs Only | Student Opportunity Research | Prepared for InAmigos Foundation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</si>
</sst>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2" x14ac:knownFonts="1">
    <font>
      <sz val="11"/>
      <color theme="1"/>
      <name val="Calibri"/>
      <family val="2"/>
      <scheme val="minor"/>
    </font>
    <font>
      <b/>
      <sz val="10"/>
      <color rgb="FFFFFFFF"/>
      <name val="Calibri"/>
    </font>
    <font>
      <sz val="12"/>
      <color theme="10"/>
      <name val="Calibri"/>
      <family val="2"/>
      <scheme val="minor"/>
    </font>
    <font>
      <b/>
      <sz val="20"/>
      <color rgb="FFFFFFFF"/>
      <name val="Aptos Display"/>
    </font>
    <font>
      <i/>
      <sz val="10"/>
      <color rgb="FF16324F"/>
      <name val="Calibri"/>
    </font>
    <font>
      <b/>
      <sz val="12"/>
      <color rgb="FFFFFFFF"/>
      <name val="Calibri"/>
    </font>
    <font>
      <b/>
      <sz val="9"/>
      <color rgb="FF16324F"/>
      <name val="Calibri"/>
    </font>
    <font>
      <b/>
      <sz val="18"/>
      <color rgb="FF0F9D9A"/>
      <name val="Calibri"/>
    </font>
    <font>
      <b/>
      <sz val="11"/>
      <color rgb="FFFFFFFF"/>
      <name val="Calibri"/>
    </font>
    <font>
      <sz val="11"/>
      <color rgb="FF1F2937"/>
      <name val="Calibri"/>
    </font>
    <font>
      <b/>
      <sz val="11"/>
      <color rgb="FF16324F"/>
      <name val="Calibri"/>
    </font>
    <font>
      <b/>
      <sz val="20"/>
      <color rgb="FFFFFFFF"/>
      <name val="Calibri"/>
    </font>
  </fonts>
  <fills count="8">
    <fill>
      <patternFill patternType="none"/>
    </fill>
    <fill>
      <patternFill patternType="gray125"/>
    </fill>
    <fill>
      <patternFill patternType="solid">
        <fgColor rgb="FF16324F"/>
      </patternFill>
    </fill>
    <fill>
      <patternFill patternType="solid">
        <fgColor rgb="FF0F9D9A"/>
      </patternFill>
    </fill>
    <fill>
      <patternFill patternType="solid">
        <fgColor rgb="FFEAF0F6"/>
      </patternFill>
    </fill>
    <fill>
      <patternFill patternType="solid">
        <fgColor rgb="FFDDF3F1"/>
      </patternFill>
    </fill>
    <fill>
      <patternFill patternType="solid">
        <fgColor rgb="FFF4F7FB"/>
      </patternFill>
    </fill>
    <fill>
      <patternFill patternType="solid">
        <fgColor rgb="FFFFFFFF"/>
      </patternFill>
    </fill>
  </fills>
  <borders count="4">
    <border>
      <left/>
      <right/>
      <top/>
      <bottom/>
      <diagonal/>
    </border>
    <border>
      <left/>
      <right/>
      <top/>
      <bottom style="thin">
        <color rgb="FFD8E0EA"/>
      </bottom>
      <diagonal/>
    </border>
    <border>
      <left style="thin">
        <color rgb="FFD8E0EA"/>
      </left>
      <right style="thin">
        <color rgb="FFD8E0EA"/>
      </right>
      <top style="thin">
        <color rgb="FFD8E0EA"/>
      </top>
      <bottom style="thin">
        <color rgb="FFD8E0EA"/>
      </bottom>
      <diagonal/>
    </border>
    <border>
      <left/>
      <right style="thin">
        <color rgb="FFD8E0EA"/>
      </right>
      <top style="thin">
        <color rgb="FFD8E0EA"/>
      </top>
      <bottom style="thin">
        <color rgb="FFD8E0EA"/>
      </bottom>
      <diagonal/>
    </border>
  </borders>
  <cellStyleXfs count="2">
    <xf numFmtId="0" fontId="0" fillId="0" borderId="0"/>
    <xf numFmtId="0" fontId="2" fillId="0" borderId="0"/>
  </cellStyleXfs>
  <cellXfs count="26">
    <xf numFmtId="0" fontId="0" fillId="0" borderId="0" xfId="0"/>
    <xf numFmtId="0" fontId="8" fillId="2" borderId="0" xfId="0" applyFont="1" applyFill="1"/>
    <xf numFmtId="0" fontId="7" fillId="5" borderId="2" xfId="0" applyFont="1" applyFill="1" applyBorder="1" applyAlignment="1">
      <alignment horizontal="center" vertical="center"/>
    </xf>
    <xf numFmtId="0" fontId="0" fillId="0" borderId="3" xfId="0" applyBorder="1"/>
    <xf numFmtId="0" fontId="6" fillId="4" borderId="2" xfId="0" applyFont="1" applyFill="1" applyBorder="1" applyAlignment="1">
      <alignment horizontal="center" vertical="center" wrapText="1"/>
    </xf>
    <xf numFmtId="0" fontId="8" fillId="3" borderId="0" xfId="0" applyFont="1" applyFill="1"/>
    <xf numFmtId="0" fontId="0" fillId="0" borderId="0" xfId="0"/>
    <xf numFmtId="0" fontId="9" fillId="6" borderId="0" xfId="0" applyFont="1" applyFill="1" applyAlignment="1">
      <alignment vertical="top" wrapText="1"/>
    </xf>
    <xf numFmtId="0" fontId="4" fillId="0" borderId="0" xfId="0" applyFont="1" applyAlignment="1">
      <alignment horizontal="center"/>
    </xf>
    <xf numFmtId="0" fontId="5" fillId="3" borderId="0" xfId="0" applyFont="1" applyFill="1"/>
    <xf numFmtId="0" fontId="3" fillId="2" borderId="0" xfId="0" applyFont="1" applyFill="1" applyAlignment="1">
      <alignment horizontal="center" vertical="center"/>
    </xf>
    <xf numFmtId="0" fontId="11" fillId="2"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2" fillId="0" borderId="0" xfId="1" applyAlignment="1">
      <alignment horizontal="center" vertical="center"/>
    </xf>
    <xf numFmtId="0" fontId="8" fillId="2" borderId="0" xfId="0" applyFont="1" applyFill="1" applyAlignment="1">
      <alignment horizontal="center" vertical="center" wrapText="1"/>
    </xf>
    <xf numFmtId="0" fontId="0" fillId="0" borderId="0" xfId="0" applyAlignment="1">
      <alignment horizontal="center" vertical="center" wrapText="1"/>
    </xf>
    <xf numFmtId="164" fontId="0" fillId="0" borderId="0" xfId="0" applyNumberFormat="1" applyAlignment="1">
      <alignment horizontal="center" vertical="center" wrapText="1"/>
    </xf>
    <xf numFmtId="0" fontId="10" fillId="0" borderId="0" xfId="0" applyFont="1" applyAlignment="1">
      <alignment horizontal="center" vertical="center" wrapText="1"/>
    </xf>
    <xf numFmtId="0" fontId="8" fillId="2" borderId="0" xfId="0" applyFont="1" applyFill="1" applyAlignment="1">
      <alignment horizontal="center" vertical="center"/>
    </xf>
    <xf numFmtId="0" fontId="0" fillId="6" borderId="0" xfId="0" applyFill="1" applyAlignment="1">
      <alignment horizontal="center" vertical="center" wrapText="1"/>
    </xf>
    <xf numFmtId="0" fontId="0" fillId="7" borderId="0" xfId="0" applyFill="1" applyAlignment="1">
      <alignment horizontal="center" vertical="center" wrapText="1"/>
    </xf>
    <xf numFmtId="0" fontId="5" fillId="3" borderId="0" xfId="0" applyFont="1" applyFill="1" applyAlignment="1">
      <alignment horizontal="center" vertical="center"/>
    </xf>
    <xf numFmtId="0" fontId="0" fillId="0" borderId="0" xfId="0" applyAlignment="1">
      <alignment horizontal="center" vertical="center"/>
    </xf>
  </cellXfs>
  <cellStyles count="2">
    <cellStyle name="Hyperlink" xfId="1" builtinId="8"/>
    <cellStyle name="Normal" xfId="0" builtinId="0"/>
  </cellStyles>
  <dxfs count="5">
    <dxf>
      <fill>
        <patternFill patternType="solid">
          <fgColor rgb="FFFCE4D6"/>
        </patternFill>
      </fill>
    </dxf>
    <dxf>
      <fill>
        <patternFill patternType="solid">
          <fgColor rgb="FFFFF2CC"/>
        </patternFill>
      </fill>
    </dxf>
    <dxf>
      <fill>
        <patternFill patternType="solid">
          <fgColor rgb="FFD9EAF7"/>
        </patternFill>
      </fill>
    </dxf>
    <dxf>
      <fill>
        <patternFill patternType="solid">
          <fgColor rgb="FFD9EAD3"/>
        </patternFill>
      </fill>
    </dxf>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485421888053467"/>
          <c:y val="0.43219368340943681"/>
          <c:w val="0.31050459482038428"/>
          <c:h val="0.56571385083713854"/>
        </c:manualLayout>
      </c:layout>
      <c:doughnutChart>
        <c:varyColors val="1"/>
        <c:ser>
          <c:idx val="0"/>
          <c:order val="0"/>
          <c:tx>
            <c:strRef>
              <c:f>'Executive Dashboard'!$Q$1</c:f>
              <c:strCache>
                <c:ptCount val="1"/>
                <c:pt idx="0">
                  <c:v>Count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'Executive Dashboard'!$P$2:$P$9</c:f>
              <c:strCache>
                <c:ptCount val="8"/>
                <c:pt idx="0">
                  <c:v>Education</c:v>
                </c:pt>
                <c:pt idx="1">
                  <c:v>Education &amp; Child Nutrition</c:v>
                </c:pt>
                <c:pt idx="2">
                  <c:v>Education &amp; Digital Inclusion</c:v>
                </c:pt>
                <c:pt idx="3">
                  <c:v>Education &amp; Inclusion</c:v>
                </c:pt>
                <c:pt idx="4">
                  <c:v>Environment &amp; Sustainability</c:v>
                </c:pt>
                <c:pt idx="5">
                  <c:v>Food Security &amp; Community Welfare</c:v>
                </c:pt>
                <c:pt idx="6">
                  <c:v>Fundraising &amp; NGO Operations</c:v>
                </c:pt>
                <c:pt idx="7">
                  <c:v>Legal Aid &amp; Social Development</c:v>
                </c:pt>
              </c:strCache>
            </c:strRef>
          </c:cat>
          <c:val>
            <c:numRef>
              <c:f>'Executive Dashboard'!$Q$2:$Q$9</c:f>
              <c:numCache>
                <c:formatCode>General</c:formatCode>
                <c:ptCount val="8"/>
                <c:pt idx="0">
                  <c:v>2</c:v>
                </c:pt>
                <c:pt idx="1">
                  <c:v>2</c:v>
                </c:pt>
                <c:pt idx="2">
                  <c:v>1</c:v>
                </c:pt>
                <c:pt idx="3">
                  <c:v>1</c:v>
                </c:pt>
                <c:pt idx="4">
                  <c:v>1</c:v>
                </c:pt>
                <c:pt idx="5">
                  <c:v>1</c:v>
                </c:pt>
                <c:pt idx="6">
                  <c:v>2</c:v>
                </c:pt>
                <c:pt idx="7">
                  <c:v>1</c:v>
                </c:pt>
              </c:numCache>
            </c:numRef>
          </c:val>
          <c:extLst>
            <c:ext xmlns:c16="http://schemas.microsoft.com/office/drawing/2014/chart" uri="{C3380CC4-5D6E-409C-BE32-E72D297353CC}">
              <c16:uniqueId val="{00000000-3D02-4224-BA16-404516DAA24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12671261487050961"/>
          <c:y val="0.11641666666666668"/>
          <c:w val="0.76248955722639933"/>
          <c:h val="0.31895205479452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Opportunities by Opportunity Type</a:t>
            </a:r>
          </a:p>
        </c:rich>
      </c:tx>
      <c:layout>
        <c:manualLayout>
          <c:xMode val="edge"/>
          <c:yMode val="edge"/>
          <c:x val="0.2980678780284044"/>
          <c:y val="1.9330289193302892E-2"/>
        </c:manualLayout>
      </c:layout>
      <c:overlay val="1"/>
    </c:title>
    <c:autoTitleDeleted val="0"/>
    <c:plotArea>
      <c:layout>
        <c:manualLayout>
          <c:layoutTarget val="inner"/>
          <c:xMode val="edge"/>
          <c:yMode val="edge"/>
          <c:x val="6.3659147869674179E-2"/>
          <c:y val="0.11114916286149162"/>
          <c:w val="0.90185881370091892"/>
          <c:h val="0.85019025875190257"/>
        </c:manualLayout>
      </c:layout>
      <c:barChart>
        <c:barDir val="bar"/>
        <c:grouping val="clustered"/>
        <c:varyColors val="1"/>
        <c:ser>
          <c:idx val="0"/>
          <c:order val="0"/>
          <c:tx>
            <c:strRef>
              <c:f>'Executive Dashboard'!$T$1</c:f>
              <c:strCache>
                <c:ptCount val="1"/>
                <c:pt idx="0">
                  <c:v>Count</c:v>
                </c:pt>
              </c:strCache>
            </c:strRef>
          </c:tx>
          <c:spPr>
            <a:ln>
              <a:prstDash val="solid"/>
            </a:ln>
          </c:spPr>
          <c:invertIfNegative val="1"/>
          <c:cat>
            <c:strRef>
              <c:f>'Executive Dashboard'!$S$2:$S$4</c:f>
              <c:strCache>
                <c:ptCount val="3"/>
                <c:pt idx="0">
                  <c:v>Internship</c:v>
                </c:pt>
                <c:pt idx="1">
                  <c:v>Volunteer Programme</c:v>
                </c:pt>
                <c:pt idx="2">
                  <c:v>Community Development</c:v>
                </c:pt>
              </c:strCache>
            </c:strRef>
          </c:cat>
          <c:val>
            <c:numRef>
              <c:f>'Executive Dashboard'!$T$2:$T$4</c:f>
              <c:numCache>
                <c:formatCode>General</c:formatCode>
                <c:ptCount val="3"/>
                <c:pt idx="0">
                  <c:v>7</c:v>
                </c:pt>
                <c:pt idx="1">
                  <c:v>9</c:v>
                </c:pt>
                <c:pt idx="2">
                  <c:v>3</c:v>
                </c:pt>
              </c:numCache>
            </c:numRef>
          </c:val>
          <c:extLst>
            <c:ext xmlns:c16="http://schemas.microsoft.com/office/drawing/2014/chart" uri="{C3380CC4-5D6E-409C-BE32-E72D297353CC}">
              <c16:uniqueId val="{00000000-EAE3-432B-86BD-CF5E957C8B59}"/>
            </c:ext>
          </c:extLst>
        </c:ser>
        <c:dLbls>
          <c:showLegendKey val="0"/>
          <c:showVal val="0"/>
          <c:showCatName val="0"/>
          <c:showSerName val="0"/>
          <c:showPercent val="0"/>
          <c:showBubbleSize val="0"/>
        </c:dLbls>
        <c:gapWidth val="55"/>
        <c:axId val="10"/>
        <c:axId val="100"/>
      </c:barChart>
      <c:catAx>
        <c:axId val="10"/>
        <c:scaling>
          <c:orientation val="minMax"/>
        </c:scaling>
        <c:delete val="1"/>
        <c:axPos val="l"/>
        <c:title>
          <c:tx>
            <c:rich>
              <a:bodyPr/>
              <a:lstStyle/>
              <a:p>
                <a:pPr>
                  <a:defRPr/>
                </a:pPr>
                <a:r>
                  <a:rPr lang="en-IN"/>
                  <a:t>Number of opportunities</a:t>
                </a:r>
              </a:p>
            </c:rich>
          </c:tx>
          <c:layout>
            <c:manualLayout>
              <c:xMode val="edge"/>
              <c:yMode val="edge"/>
              <c:x val="1.0065998329156224E-2"/>
              <c:y val="0.26627245053272453"/>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plotVisOnly val="0"/>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a:t>Opportunities by Work Mode</a:t>
            </a:r>
          </a:p>
        </c:rich>
      </c:tx>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lotArea>
      <c:layout/>
      <c:doughnutChart>
        <c:varyColors val="1"/>
        <c:ser>
          <c:idx val="0"/>
          <c:order val="0"/>
          <c:tx>
            <c:strRef>
              <c:f>'Executive Dashboard'!$W$1</c:f>
              <c:strCache>
                <c:ptCount val="1"/>
                <c:pt idx="0">
                  <c:v>Count</c:v>
                </c:pt>
              </c:strCache>
            </c:strRef>
          </c:tx>
          <c:dPt>
            <c:idx val="0"/>
            <c:bubble3D val="0"/>
            <c:spPr>
              <a:solidFill>
                <a:schemeClr val="accent1"/>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spPr>
          </c:dPt>
          <c:dPt>
            <c:idx val="1"/>
            <c:bubble3D val="0"/>
            <c:spPr>
              <a:solidFill>
                <a:schemeClr val="accent2"/>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spPr>
          </c:dPt>
          <c:dPt>
            <c:idx val="2"/>
            <c:bubble3D val="0"/>
            <c:spPr>
              <a:solidFill>
                <a:schemeClr val="accent3"/>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spPr>
          </c:dPt>
          <c:dPt>
            <c:idx val="3"/>
            <c:bubble3D val="0"/>
            <c:spPr>
              <a:solidFill>
                <a:schemeClr val="accent4"/>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1258-43BE-9124-B4927FEFD963}"/>
              </c:ext>
            </c:extLst>
          </c:dPt>
          <c:dLbls>
            <c:dLbl>
              <c:idx val="3"/>
              <c:layout>
                <c:manualLayout>
                  <c:x val="3.182957393483709E-2"/>
                  <c:y val="-2.899543378995433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258-43BE-9124-B4927FEFD96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'Executive Dashboard'!$V$2:$V$5</c:f>
              <c:strCache>
                <c:ptCount val="4"/>
                <c:pt idx="0">
                  <c:v>Remote</c:v>
                </c:pt>
                <c:pt idx="1">
                  <c:v>Hybrid</c:v>
                </c:pt>
                <c:pt idx="2">
                  <c:v>On-site</c:v>
                </c:pt>
                <c:pt idx="3">
                  <c:v>Unspecified</c:v>
                </c:pt>
              </c:strCache>
            </c:strRef>
          </c:cat>
          <c:val>
            <c:numRef>
              <c:f>'Executive Dashboard'!$W$2:$W$5</c:f>
              <c:numCache>
                <c:formatCode>General</c:formatCode>
                <c:ptCount val="4"/>
                <c:pt idx="0">
                  <c:v>4</c:v>
                </c:pt>
                <c:pt idx="1">
                  <c:v>1</c:v>
                </c:pt>
                <c:pt idx="2">
                  <c:v>8</c:v>
                </c:pt>
                <c:pt idx="3">
                  <c:v>0</c:v>
                </c:pt>
              </c:numCache>
            </c:numRef>
          </c:val>
          <c:extLst>
            <c:ext xmlns:c16="http://schemas.microsoft.com/office/drawing/2014/chart" uri="{C3380CC4-5D6E-409C-BE32-E72D297353CC}">
              <c16:uniqueId val="{00000000-1258-43BE-9124-B4927FEFD963}"/>
            </c:ext>
          </c:extLst>
        </c:ser>
        <c:dLbls>
          <c:showLegendKey val="0"/>
          <c:showVal val="1"/>
          <c:showCatName val="0"/>
          <c:showSerName val="0"/>
          <c:showPercent val="0"/>
          <c:showBubbleSize val="0"/>
          <c:showLeaderLines val="0"/>
        </c:dLbls>
        <c:firstSliceAng val="0"/>
        <c:holeSize val="58"/>
      </c:doughnutChart>
      <c:spPr>
        <a:noFill/>
        <a:ln>
          <a:noFill/>
        </a:ln>
        <a:effectLst/>
      </c:spPr>
    </c:plotArea>
    <c:legend>
      <c:legendPos val="r"/>
      <c:overlay val="1"/>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0"/>
    <c:dispBlanksAs val="zero"/>
    <c:showDLblsOverMax val="1"/>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Opportunity Status Overview</a:t>
            </a:r>
          </a:p>
        </c:rich>
      </c:tx>
      <c:layout>
        <c:manualLayout>
          <c:xMode val="edge"/>
          <c:yMode val="edge"/>
          <c:x val="0.32560714285714287"/>
          <c:y val="1.449771689497717E-2"/>
        </c:manualLayout>
      </c:layout>
      <c:overlay val="1"/>
    </c:title>
    <c:autoTitleDeleted val="0"/>
    <c:plotArea>
      <c:layout>
        <c:manualLayout>
          <c:layoutTarget val="inner"/>
          <c:xMode val="edge"/>
          <c:yMode val="edge"/>
          <c:x val="6.6311612364243946E-2"/>
          <c:y val="0.11114916286149162"/>
          <c:w val="0.90451127819548871"/>
          <c:h val="0.83569254185692521"/>
        </c:manualLayout>
      </c:layout>
      <c:barChart>
        <c:barDir val="bar"/>
        <c:grouping val="clustered"/>
        <c:varyColors val="1"/>
        <c:ser>
          <c:idx val="0"/>
          <c:order val="0"/>
          <c:tx>
            <c:strRef>
              <c:f>'Executive Dashboard'!$Z$1</c:f>
              <c:strCache>
                <c:ptCount val="1"/>
                <c:pt idx="0">
                  <c:v>Count</c:v>
                </c:pt>
              </c:strCache>
            </c:strRef>
          </c:tx>
          <c:spPr>
            <a:ln>
              <a:prstDash val="solid"/>
            </a:ln>
          </c:spPr>
          <c:invertIfNegative val="1"/>
          <c:cat>
            <c:strRef>
              <c:f>'Executive Dashboard'!$Y$2:$Y$5</c:f>
              <c:strCache>
                <c:ptCount val="4"/>
                <c:pt idx="0">
                  <c:v>Open</c:v>
                </c:pt>
                <c:pt idx="1">
                  <c:v>Upcoming</c:v>
                </c:pt>
                <c:pt idx="2">
                  <c:v>Closed</c:v>
                </c:pt>
                <c:pt idx="3">
                  <c:v>Unverified</c:v>
                </c:pt>
              </c:strCache>
            </c:strRef>
          </c:cat>
          <c:val>
            <c:numRef>
              <c:f>'Executive Dashboard'!$Z$2:$Z$5</c:f>
              <c:numCache>
                <c:formatCode>General</c:formatCode>
                <c:ptCount val="4"/>
                <c:pt idx="0">
                  <c:v>1</c:v>
                </c:pt>
                <c:pt idx="1">
                  <c:v>0</c:v>
                </c:pt>
                <c:pt idx="2">
                  <c:v>0</c:v>
                </c:pt>
                <c:pt idx="3">
                  <c:v>15</c:v>
                </c:pt>
              </c:numCache>
            </c:numRef>
          </c:val>
          <c:extLst>
            <c:ext xmlns:c16="http://schemas.microsoft.com/office/drawing/2014/chart" uri="{C3380CC4-5D6E-409C-BE32-E72D297353CC}">
              <c16:uniqueId val="{00000000-1185-4F3A-B58B-00B589132DA5}"/>
            </c:ext>
          </c:extLst>
        </c:ser>
        <c:dLbls>
          <c:showLegendKey val="0"/>
          <c:showVal val="0"/>
          <c:showCatName val="0"/>
          <c:showSerName val="0"/>
          <c:showPercent val="0"/>
          <c:showBubbleSize val="0"/>
        </c:dLbls>
        <c:gapWidth val="55"/>
        <c:axId val="10"/>
        <c:axId val="100"/>
      </c:barChart>
      <c:catAx>
        <c:axId val="10"/>
        <c:scaling>
          <c:orientation val="minMax"/>
        </c:scaling>
        <c:delete val="1"/>
        <c:axPos val="l"/>
        <c:title>
          <c:tx>
            <c:rich>
              <a:bodyPr/>
              <a:lstStyle/>
              <a:p>
                <a:pPr>
                  <a:defRPr/>
                </a:pPr>
                <a:r>
                  <a:rPr lang="en-IN"/>
                  <a:t>Number of opportunities</a:t>
                </a:r>
              </a:p>
            </c:rich>
          </c:tx>
          <c:layout>
            <c:manualLayout>
              <c:xMode val="edge"/>
              <c:yMode val="edge"/>
              <c:x val="1.0065998329156224E-2"/>
              <c:y val="0.23486073059360732"/>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dTable>
        <c:showHorzBorder val="1"/>
        <c:showVertBorder val="1"/>
        <c:showOutline val="1"/>
        <c:showKeys val="1"/>
      </c:dTable>
    </c:plotArea>
    <c:plotVisOnly val="0"/>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Compensation Classification</a:t>
            </a:r>
          </a:p>
        </c:rich>
      </c:tx>
      <c:layout>
        <c:manualLayout>
          <c:xMode val="edge"/>
          <c:yMode val="edge"/>
          <c:x val="0.33695969089390143"/>
          <c:y val="2.4162861491628614E-2"/>
        </c:manualLayout>
      </c:layout>
      <c:overlay val="1"/>
    </c:title>
    <c:autoTitleDeleted val="0"/>
    <c:plotArea>
      <c:layout>
        <c:manualLayout>
          <c:layoutTarget val="inner"/>
          <c:xMode val="edge"/>
          <c:yMode val="edge"/>
          <c:x val="5.3049289891395152E-2"/>
          <c:y val="0.12081430745814307"/>
          <c:w val="0.90981620718462819"/>
          <c:h val="0.82602739726027397"/>
        </c:manualLayout>
      </c:layout>
      <c:barChart>
        <c:barDir val="bar"/>
        <c:grouping val="clustered"/>
        <c:varyColors val="1"/>
        <c:ser>
          <c:idx val="0"/>
          <c:order val="0"/>
          <c:tx>
            <c:strRef>
              <c:f>'Executive Dashboard'!$AC$1</c:f>
              <c:strCache>
                <c:ptCount val="1"/>
                <c:pt idx="0">
                  <c:v>Count</c:v>
                </c:pt>
              </c:strCache>
            </c:strRef>
          </c:tx>
          <c:spPr>
            <a:ln>
              <a:prstDash val="solid"/>
            </a:ln>
          </c:spPr>
          <c:invertIfNegative val="1"/>
          <c:cat>
            <c:strRef>
              <c:f>'Executive Dashboard'!$AB$2:$AB$4</c:f>
              <c:strCache>
                <c:ptCount val="3"/>
                <c:pt idx="0">
                  <c:v>Confirmed paid</c:v>
                </c:pt>
                <c:pt idx="1">
                  <c:v>Unpaid / volunteer</c:v>
                </c:pt>
                <c:pt idx="2">
                  <c:v>Not specified / other</c:v>
                </c:pt>
              </c:strCache>
            </c:strRef>
          </c:cat>
          <c:val>
            <c:numRef>
              <c:f>'Executive Dashboard'!$AC$2:$AC$4</c:f>
              <c:numCache>
                <c:formatCode>General</c:formatCode>
                <c:ptCount val="3"/>
                <c:pt idx="0">
                  <c:v>1</c:v>
                </c:pt>
                <c:pt idx="1">
                  <c:v>8</c:v>
                </c:pt>
                <c:pt idx="2">
                  <c:v>7</c:v>
                </c:pt>
              </c:numCache>
            </c:numRef>
          </c:val>
          <c:extLst>
            <c:ext xmlns:c16="http://schemas.microsoft.com/office/drawing/2014/chart" uri="{C3380CC4-5D6E-409C-BE32-E72D297353CC}">
              <c16:uniqueId val="{00000000-0C4F-4039-9FAC-47182D04B72D}"/>
            </c:ext>
          </c:extLst>
        </c:ser>
        <c:dLbls>
          <c:showLegendKey val="0"/>
          <c:showVal val="0"/>
          <c:showCatName val="0"/>
          <c:showSerName val="0"/>
          <c:showPercent val="0"/>
          <c:showBubbleSize val="0"/>
        </c:dLbls>
        <c:gapWidth val="55"/>
        <c:axId val="10"/>
        <c:axId val="100"/>
      </c:barChart>
      <c:catAx>
        <c:axId val="10"/>
        <c:scaling>
          <c:orientation val="minMax"/>
        </c:scaling>
        <c:delete val="1"/>
        <c:axPos val="l"/>
        <c:title>
          <c:tx>
            <c:rich>
              <a:bodyPr/>
              <a:lstStyle/>
              <a:p>
                <a:pPr>
                  <a:defRPr/>
                </a:pPr>
                <a:r>
                  <a:rPr lang="en-IN"/>
                  <a:t>Number of opportunities</a:t>
                </a:r>
              </a:p>
            </c:rich>
          </c:tx>
          <c:layout>
            <c:manualLayout>
              <c:xMode val="edge"/>
              <c:yMode val="edge"/>
              <c:x val="4.7610693400167081E-3"/>
              <c:y val="0.26868873668188736"/>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dTable>
        <c:showHorzBorder val="1"/>
        <c:showVertBorder val="1"/>
        <c:showOutline val="1"/>
        <c:showKeys val="1"/>
      </c:dTable>
    </c:plotArea>
    <c:plotVisOnly val="0"/>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11</xdr:row>
      <xdr:rowOff>0</xdr:rowOff>
    </xdr:from>
    <xdr:ext cx="4788000" cy="2628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4788000" cy="2628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26</xdr:row>
      <xdr:rowOff>0</xdr:rowOff>
    </xdr:from>
    <xdr:ext cx="4788000" cy="2628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26</xdr:row>
      <xdr:rowOff>0</xdr:rowOff>
    </xdr:from>
    <xdr:ext cx="4788000" cy="2628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41</xdr:row>
      <xdr:rowOff>0</xdr:rowOff>
    </xdr:from>
    <xdr:ext cx="4788000" cy="2628000"/>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akshayapatra.org/volunteering-opportunities" TargetMode="External"/><Relationship Id="rId13" Type="http://schemas.openxmlformats.org/officeDocument/2006/relationships/hyperlink" Target="https://www.akshayapatra.org/volunteering-opportunities" TargetMode="External"/><Relationship Id="rId18" Type="http://schemas.openxmlformats.org/officeDocument/2006/relationships/hyperlink" Target="https://goonj.org/internship/" TargetMode="External"/><Relationship Id="rId26" Type="http://schemas.openxmlformats.org/officeDocument/2006/relationships/hyperlink" Target="https://www.pratham.org/get-involved/internships/" TargetMode="External"/><Relationship Id="rId3" Type="http://schemas.openxmlformats.org/officeDocument/2006/relationships/hyperlink" Target="https://inamigos-foundation-website.vercel.app/volunteer" TargetMode="External"/><Relationship Id="rId21" Type="http://schemas.openxmlformats.org/officeDocument/2006/relationships/hyperlink" Target="https://goonj.org/internship/" TargetMode="External"/><Relationship Id="rId7" Type="http://schemas.openxmlformats.org/officeDocument/2006/relationships/hyperlink" Target="https://www.akshayapatra.org/volunteering-opportunities" TargetMode="External"/><Relationship Id="rId12" Type="http://schemas.openxmlformats.org/officeDocument/2006/relationships/hyperlink" Target="https://www.akshayapatra.org/volunteering-opportunities" TargetMode="External"/><Relationship Id="rId17" Type="http://schemas.openxmlformats.org/officeDocument/2006/relationships/hyperlink" Target="https://goonj.org/internship/" TargetMode="External"/><Relationship Id="rId25" Type="http://schemas.openxmlformats.org/officeDocument/2006/relationships/hyperlink" Target="https://www.pratham.org/get-involved/internships/" TargetMode="External"/><Relationship Id="rId2" Type="http://schemas.openxmlformats.org/officeDocument/2006/relationships/hyperlink" Target="https://inamigos-foundation-website.vercel.app/volunteer" TargetMode="External"/><Relationship Id="rId16" Type="http://schemas.openxmlformats.org/officeDocument/2006/relationships/hyperlink" Target="https://goonj.org/internship/" TargetMode="External"/><Relationship Id="rId20" Type="http://schemas.openxmlformats.org/officeDocument/2006/relationships/hyperlink" Target="https://goonj.org/internship/" TargetMode="External"/><Relationship Id="rId29" Type="http://schemas.openxmlformats.org/officeDocument/2006/relationships/hyperlink" Target="https://wwfngo.org/get-involved" TargetMode="External"/><Relationship Id="rId1" Type="http://schemas.openxmlformats.org/officeDocument/2006/relationships/hyperlink" Target="https://inamigos-foundation-website.vercel.app/volunteer" TargetMode="External"/><Relationship Id="rId6" Type="http://schemas.openxmlformats.org/officeDocument/2006/relationships/hyperlink" Target="https://inamigos-foundation-website.vercel.app/volunteer" TargetMode="External"/><Relationship Id="rId11" Type="http://schemas.openxmlformats.org/officeDocument/2006/relationships/hyperlink" Target="https://www.akshayapatra.org/volunteering-opportunities" TargetMode="External"/><Relationship Id="rId24" Type="http://schemas.openxmlformats.org/officeDocument/2006/relationships/hyperlink" Target="https://www.pratham.org/2026/07/09/intern-inclusive-education-team/" TargetMode="External"/><Relationship Id="rId32" Type="http://schemas.openxmlformats.org/officeDocument/2006/relationships/hyperlink" Target="https://www.uandi.org.in/volunteer" TargetMode="External"/><Relationship Id="rId5" Type="http://schemas.openxmlformats.org/officeDocument/2006/relationships/hyperlink" Target="https://inamigos-foundation-website.vercel.app/volunteer" TargetMode="External"/><Relationship Id="rId15" Type="http://schemas.openxmlformats.org/officeDocument/2006/relationships/hyperlink" Target="https://goonj.org/internship/" TargetMode="External"/><Relationship Id="rId23" Type="http://schemas.openxmlformats.org/officeDocument/2006/relationships/hyperlink" Target="https://www.pratham.org/2026/07/09/intern-inclusive-education-team/" TargetMode="External"/><Relationship Id="rId28" Type="http://schemas.openxmlformats.org/officeDocument/2006/relationships/hyperlink" Target="https://www.wwfngo.org/get-involved/internship" TargetMode="External"/><Relationship Id="rId10" Type="http://schemas.openxmlformats.org/officeDocument/2006/relationships/hyperlink" Target="https://www.akshayapatra.org/volunteering-opportunities" TargetMode="External"/><Relationship Id="rId19" Type="http://schemas.openxmlformats.org/officeDocument/2006/relationships/hyperlink" Target="https://goonj.org/internship/" TargetMode="External"/><Relationship Id="rId31" Type="http://schemas.openxmlformats.org/officeDocument/2006/relationships/hyperlink" Target="https://www.uandi.org.in/volunteer" TargetMode="External"/><Relationship Id="rId4" Type="http://schemas.openxmlformats.org/officeDocument/2006/relationships/hyperlink" Target="https://inamigos-foundation-website.vercel.app/volunteer" TargetMode="External"/><Relationship Id="rId9" Type="http://schemas.openxmlformats.org/officeDocument/2006/relationships/hyperlink" Target="https://www.akshayapatra.org/volunteering-opportunities" TargetMode="External"/><Relationship Id="rId14" Type="http://schemas.openxmlformats.org/officeDocument/2006/relationships/hyperlink" Target="https://www.akshayapatra.org/volunteering-opportunities" TargetMode="External"/><Relationship Id="rId22" Type="http://schemas.openxmlformats.org/officeDocument/2006/relationships/hyperlink" Target="https://goonj.org/internship/" TargetMode="External"/><Relationship Id="rId27" Type="http://schemas.openxmlformats.org/officeDocument/2006/relationships/hyperlink" Target="https://www.wwfngo.org/get-involved/internship" TargetMode="External"/><Relationship Id="rId30" Type="http://schemas.openxmlformats.org/officeDocument/2006/relationships/hyperlink" Target="https://wwfngo.org/get-involved"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akshayapatra.org/volunteering-opportunities" TargetMode="External"/><Relationship Id="rId13" Type="http://schemas.openxmlformats.org/officeDocument/2006/relationships/hyperlink" Target="https://www.akshayapatra.org/volunteering-opportunities" TargetMode="External"/><Relationship Id="rId18" Type="http://schemas.openxmlformats.org/officeDocument/2006/relationships/hyperlink" Target="https://goonj.org/internship/" TargetMode="External"/><Relationship Id="rId26" Type="http://schemas.openxmlformats.org/officeDocument/2006/relationships/hyperlink" Target="https://www.pratham.org/get-involved/internships/" TargetMode="External"/><Relationship Id="rId3" Type="http://schemas.openxmlformats.org/officeDocument/2006/relationships/hyperlink" Target="https://inamigos-foundation-website.vercel.app/volunteer" TargetMode="External"/><Relationship Id="rId21" Type="http://schemas.openxmlformats.org/officeDocument/2006/relationships/hyperlink" Target="https://goonj.org/internship/" TargetMode="External"/><Relationship Id="rId7" Type="http://schemas.openxmlformats.org/officeDocument/2006/relationships/hyperlink" Target="https://www.akshayapatra.org/volunteering-opportunities" TargetMode="External"/><Relationship Id="rId12" Type="http://schemas.openxmlformats.org/officeDocument/2006/relationships/hyperlink" Target="https://www.akshayapatra.org/volunteering-opportunities" TargetMode="External"/><Relationship Id="rId17" Type="http://schemas.openxmlformats.org/officeDocument/2006/relationships/hyperlink" Target="https://goonj.org/internship/" TargetMode="External"/><Relationship Id="rId25" Type="http://schemas.openxmlformats.org/officeDocument/2006/relationships/hyperlink" Target="https://www.pratham.org/get-involved/internships/" TargetMode="External"/><Relationship Id="rId2" Type="http://schemas.openxmlformats.org/officeDocument/2006/relationships/hyperlink" Target="https://inamigos-foundation-website.vercel.app/volunteer" TargetMode="External"/><Relationship Id="rId16" Type="http://schemas.openxmlformats.org/officeDocument/2006/relationships/hyperlink" Target="https://goonj.org/internship/" TargetMode="External"/><Relationship Id="rId20" Type="http://schemas.openxmlformats.org/officeDocument/2006/relationships/hyperlink" Target="https://goonj.org/internship/" TargetMode="External"/><Relationship Id="rId29" Type="http://schemas.openxmlformats.org/officeDocument/2006/relationships/hyperlink" Target="https://wwfngo.org/get-involved" TargetMode="External"/><Relationship Id="rId1" Type="http://schemas.openxmlformats.org/officeDocument/2006/relationships/hyperlink" Target="https://inamigos-foundation-website.vercel.app/volunteer" TargetMode="External"/><Relationship Id="rId6" Type="http://schemas.openxmlformats.org/officeDocument/2006/relationships/hyperlink" Target="https://inamigos-foundation-website.vercel.app/volunteer" TargetMode="External"/><Relationship Id="rId11" Type="http://schemas.openxmlformats.org/officeDocument/2006/relationships/hyperlink" Target="https://www.akshayapatra.org/volunteering-opportunities" TargetMode="External"/><Relationship Id="rId24" Type="http://schemas.openxmlformats.org/officeDocument/2006/relationships/hyperlink" Target="https://www.pratham.org/2026/07/09/intern-inclusive-education-team/" TargetMode="External"/><Relationship Id="rId32" Type="http://schemas.openxmlformats.org/officeDocument/2006/relationships/hyperlink" Target="https://www.uandi.org.in/volunteer" TargetMode="External"/><Relationship Id="rId5" Type="http://schemas.openxmlformats.org/officeDocument/2006/relationships/hyperlink" Target="https://inamigos-foundation-website.vercel.app/volunteer" TargetMode="External"/><Relationship Id="rId15" Type="http://schemas.openxmlformats.org/officeDocument/2006/relationships/hyperlink" Target="https://goonj.org/internship/" TargetMode="External"/><Relationship Id="rId23" Type="http://schemas.openxmlformats.org/officeDocument/2006/relationships/hyperlink" Target="https://www.pratham.org/2026/07/09/intern-inclusive-education-team/" TargetMode="External"/><Relationship Id="rId28" Type="http://schemas.openxmlformats.org/officeDocument/2006/relationships/hyperlink" Target="https://www.wwfngo.org/get-involved/internship" TargetMode="External"/><Relationship Id="rId10" Type="http://schemas.openxmlformats.org/officeDocument/2006/relationships/hyperlink" Target="https://www.akshayapatra.org/volunteering-opportunities" TargetMode="External"/><Relationship Id="rId19" Type="http://schemas.openxmlformats.org/officeDocument/2006/relationships/hyperlink" Target="https://goonj.org/internship/" TargetMode="External"/><Relationship Id="rId31" Type="http://schemas.openxmlformats.org/officeDocument/2006/relationships/hyperlink" Target="https://www.uandi.org.in/volunteer" TargetMode="External"/><Relationship Id="rId4" Type="http://schemas.openxmlformats.org/officeDocument/2006/relationships/hyperlink" Target="https://inamigos-foundation-website.vercel.app/volunteer" TargetMode="External"/><Relationship Id="rId9" Type="http://schemas.openxmlformats.org/officeDocument/2006/relationships/hyperlink" Target="https://www.akshayapatra.org/volunteering-opportunities" TargetMode="External"/><Relationship Id="rId14" Type="http://schemas.openxmlformats.org/officeDocument/2006/relationships/hyperlink" Target="https://www.akshayapatra.org/volunteering-opportunities" TargetMode="External"/><Relationship Id="rId22" Type="http://schemas.openxmlformats.org/officeDocument/2006/relationships/hyperlink" Target="https://goonj.org/internship/" TargetMode="External"/><Relationship Id="rId27" Type="http://schemas.openxmlformats.org/officeDocument/2006/relationships/hyperlink" Target="https://www.wwfngo.org/get-involved/internship" TargetMode="External"/><Relationship Id="rId30" Type="http://schemas.openxmlformats.org/officeDocument/2006/relationships/hyperlink" Target="https://wwfngo.org/get-involv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9D9A"/>
    <pageSetUpPr fitToPage="1"/>
  </sheetPr>
  <dimension ref="A1:AC46"/>
  <sheetViews>
    <sheetView showGridLines="0" tabSelected="1" zoomScaleNormal="100" workbookViewId="0">
      <pane ySplit="4" topLeftCell="A12" activePane="bottomLeft" state="frozen"/>
      <selection pane="bottomLeft" activeCell="M17" sqref="M17"/>
    </sheetView>
  </sheetViews>
  <sheetFormatPr defaultRowHeight="14.4" x14ac:dyDescent="0.3"/>
  <cols>
    <col min="1" max="14" width="14" customWidth="1"/>
    <col min="16" max="29" width="13" hidden="1" customWidth="1"/>
  </cols>
  <sheetData>
    <row r="1" spans="1:29" x14ac:dyDescent="0.3">
      <c r="A1" s="10" t="s">
        <v>0</v>
      </c>
      <c r="B1" s="6"/>
      <c r="C1" s="6"/>
      <c r="D1" s="6"/>
      <c r="E1" s="6"/>
      <c r="F1" s="6"/>
      <c r="G1" s="6"/>
      <c r="H1" s="6"/>
      <c r="I1" s="6"/>
      <c r="J1" s="6"/>
      <c r="K1" s="6"/>
      <c r="L1" s="6"/>
      <c r="M1" s="6"/>
      <c r="N1" s="6"/>
      <c r="P1" s="1" t="s">
        <v>1</v>
      </c>
      <c r="Q1" t="s">
        <v>2</v>
      </c>
      <c r="S1" s="1" t="s">
        <v>3</v>
      </c>
      <c r="T1" t="s">
        <v>2</v>
      </c>
      <c r="V1" s="1" t="s">
        <v>4</v>
      </c>
      <c r="W1" t="s">
        <v>2</v>
      </c>
      <c r="Y1" s="1" t="s">
        <v>5</v>
      </c>
      <c r="Z1" t="s">
        <v>2</v>
      </c>
      <c r="AB1" t="s">
        <v>6</v>
      </c>
      <c r="AC1" t="s">
        <v>2</v>
      </c>
    </row>
    <row r="2" spans="1:29" x14ac:dyDescent="0.3">
      <c r="A2" s="6"/>
      <c r="B2" s="6"/>
      <c r="C2" s="6"/>
      <c r="D2" s="6"/>
      <c r="E2" s="6"/>
      <c r="F2" s="6"/>
      <c r="G2" s="6"/>
      <c r="H2" s="6"/>
      <c r="I2" s="6"/>
      <c r="J2" s="6"/>
      <c r="K2" s="6"/>
      <c r="L2" s="6"/>
      <c r="M2" s="6"/>
      <c r="N2" s="6"/>
      <c r="P2" t="s">
        <v>7</v>
      </c>
      <c r="Q2">
        <v>2</v>
      </c>
      <c r="S2" t="s">
        <v>8</v>
      </c>
      <c r="T2">
        <v>7</v>
      </c>
      <c r="V2" t="s">
        <v>9</v>
      </c>
      <c r="W2">
        <v>4</v>
      </c>
      <c r="Y2" t="s">
        <v>10</v>
      </c>
      <c r="Z2">
        <v>1</v>
      </c>
      <c r="AB2" t="s">
        <v>11</v>
      </c>
      <c r="AC2">
        <v>1</v>
      </c>
    </row>
    <row r="3" spans="1:29" x14ac:dyDescent="0.3">
      <c r="A3" s="8" t="s">
        <v>257</v>
      </c>
      <c r="B3" s="6"/>
      <c r="C3" s="6"/>
      <c r="D3" s="6"/>
      <c r="E3" s="6"/>
      <c r="F3" s="6"/>
      <c r="G3" s="6"/>
      <c r="H3" s="6"/>
      <c r="I3" s="6"/>
      <c r="J3" s="6"/>
      <c r="K3" s="6"/>
      <c r="L3" s="6"/>
      <c r="M3" s="6"/>
      <c r="N3" s="6"/>
      <c r="P3" t="s">
        <v>12</v>
      </c>
      <c r="Q3">
        <v>2</v>
      </c>
      <c r="S3" t="s">
        <v>13</v>
      </c>
      <c r="T3">
        <v>9</v>
      </c>
      <c r="V3" t="s">
        <v>14</v>
      </c>
      <c r="W3">
        <v>1</v>
      </c>
      <c r="Y3" t="s">
        <v>15</v>
      </c>
      <c r="Z3">
        <v>0</v>
      </c>
      <c r="AB3" t="s">
        <v>16</v>
      </c>
      <c r="AC3">
        <v>8</v>
      </c>
    </row>
    <row r="4" spans="1:29" x14ac:dyDescent="0.3">
      <c r="P4" t="s">
        <v>17</v>
      </c>
      <c r="Q4">
        <v>1</v>
      </c>
      <c r="S4" t="s">
        <v>18</v>
      </c>
      <c r="T4">
        <f>COUNTIF('Opportunity Database'!$E$2:$E$17,S4)</f>
        <v>3</v>
      </c>
      <c r="V4" t="s">
        <v>19</v>
      </c>
      <c r="W4">
        <v>8</v>
      </c>
      <c r="Y4" t="s">
        <v>20</v>
      </c>
      <c r="Z4">
        <v>0</v>
      </c>
      <c r="AB4" t="s">
        <v>21</v>
      </c>
      <c r="AC4">
        <v>7</v>
      </c>
    </row>
    <row r="5" spans="1:29" ht="15.6" x14ac:dyDescent="0.3">
      <c r="A5" s="9" t="s">
        <v>22</v>
      </c>
      <c r="B5" s="6"/>
      <c r="C5" s="6"/>
      <c r="D5" s="6"/>
      <c r="E5" s="6"/>
      <c r="F5" s="6"/>
      <c r="G5" s="6"/>
      <c r="H5" s="6"/>
      <c r="I5" s="6"/>
      <c r="J5" s="6"/>
      <c r="K5" s="6"/>
      <c r="L5" s="6"/>
      <c r="M5" s="6"/>
      <c r="N5" s="6"/>
      <c r="P5" t="s">
        <v>23</v>
      </c>
      <c r="Q5">
        <v>1</v>
      </c>
      <c r="S5" t="s">
        <v>7</v>
      </c>
      <c r="T5">
        <f>COUNTIF('Opportunity Database'!$E$2:$E$17,S5)</f>
        <v>2</v>
      </c>
      <c r="V5" t="s">
        <v>24</v>
      </c>
      <c r="W5">
        <v>0</v>
      </c>
      <c r="Y5" t="s">
        <v>25</v>
      </c>
      <c r="Z5">
        <v>15</v>
      </c>
      <c r="AB5" t="s">
        <v>21</v>
      </c>
      <c r="AC5">
        <f>COUNTA('Opportunity Database'!A2:A17)-COUNTIF('Opportunity Database'!M2:M17,"Paid*")-COUNTIF('Opportunity Database'!M2:M17,"₹*")-COUNTIF('Opportunity Database'!M2:M17,"Unpaid*")</f>
        <v>7</v>
      </c>
    </row>
    <row r="6" spans="1:29" ht="31.95" customHeight="1" x14ac:dyDescent="0.3">
      <c r="A6" s="4" t="s">
        <v>26</v>
      </c>
      <c r="B6" s="3"/>
      <c r="D6" s="4" t="s">
        <v>27</v>
      </c>
      <c r="E6" s="3"/>
      <c r="G6" s="4" t="s">
        <v>28</v>
      </c>
      <c r="H6" s="3"/>
      <c r="J6" s="4" t="s">
        <v>29</v>
      </c>
      <c r="K6" s="3"/>
      <c r="M6" s="4" t="s">
        <v>30</v>
      </c>
      <c r="N6" s="3"/>
      <c r="P6" t="s">
        <v>31</v>
      </c>
      <c r="Q6">
        <v>1</v>
      </c>
      <c r="S6" t="s">
        <v>12</v>
      </c>
      <c r="T6">
        <f>COUNTIF('Opportunity Database'!$E$2:$E$17,S6)</f>
        <v>2</v>
      </c>
      <c r="V6" t="s">
        <v>25</v>
      </c>
      <c r="W6">
        <f>COUNTIF('Opportunity Database'!$K$2:$K$17,V6)</f>
        <v>3</v>
      </c>
      <c r="Y6" t="s">
        <v>25</v>
      </c>
      <c r="Z6">
        <f>COUNTIF('Opportunity Database'!$O$2:$O$17,Y6)</f>
        <v>15</v>
      </c>
    </row>
    <row r="7" spans="1:29" ht="34.049999999999997" customHeight="1" x14ac:dyDescent="0.3">
      <c r="A7" s="2">
        <f>COUNTA('Opportunity Database'!A2:A17)</f>
        <v>16</v>
      </c>
      <c r="B7" s="3"/>
      <c r="D7" s="2">
        <f>COUNTIF('Opportunity Database'!O2:O17,"Open")</f>
        <v>1</v>
      </c>
      <c r="E7" s="3"/>
      <c r="G7" s="2">
        <f>COUNTIF('Opportunity Database'!D2:D17,"Volunteer Programme")</f>
        <v>9</v>
      </c>
      <c r="H7" s="3"/>
      <c r="J7" s="2">
        <f>COUNTIF('Opportunity Database'!D2:D17,"Internship")</f>
        <v>7</v>
      </c>
      <c r="K7" s="3"/>
      <c r="M7" s="2">
        <f>COUNTIF('Opportunity Database'!D2:D17,"Fellowship")</f>
        <v>0</v>
      </c>
      <c r="N7" s="3"/>
      <c r="P7" t="s">
        <v>32</v>
      </c>
      <c r="Q7">
        <v>1</v>
      </c>
      <c r="S7" t="s">
        <v>17</v>
      </c>
      <c r="T7">
        <f>COUNTIF('Opportunity Database'!$E$2:$E$17,S7)</f>
        <v>1</v>
      </c>
    </row>
    <row r="8" spans="1:29" x14ac:dyDescent="0.3">
      <c r="P8" t="s">
        <v>33</v>
      </c>
      <c r="Q8">
        <v>2</v>
      </c>
      <c r="S8" t="s">
        <v>23</v>
      </c>
      <c r="T8">
        <f>COUNTIF('Opportunity Database'!$E$2:$E$17,S8)</f>
        <v>1</v>
      </c>
    </row>
    <row r="9" spans="1:29" ht="31.95" customHeight="1" x14ac:dyDescent="0.3">
      <c r="A9" s="4" t="s">
        <v>34</v>
      </c>
      <c r="B9" s="3"/>
      <c r="D9" s="4" t="s">
        <v>35</v>
      </c>
      <c r="E9" s="3"/>
      <c r="G9" s="4" t="s">
        <v>36</v>
      </c>
      <c r="H9" s="3"/>
      <c r="J9" s="4" t="s">
        <v>37</v>
      </c>
      <c r="K9" s="3"/>
      <c r="M9" s="4" t="s">
        <v>38</v>
      </c>
      <c r="N9" s="3"/>
      <c r="P9" t="s">
        <v>39</v>
      </c>
      <c r="Q9">
        <v>1</v>
      </c>
      <c r="S9" t="s">
        <v>31</v>
      </c>
      <c r="T9">
        <f>COUNTIF('Opportunity Database'!$E$2:$E$17,S9)</f>
        <v>1</v>
      </c>
    </row>
    <row r="10" spans="1:29" ht="34.049999999999997" customHeight="1" x14ac:dyDescent="0.3">
      <c r="A10" s="2">
        <f>COUNTIF('Opportunity Database'!M2:M17,"Paid*")+COUNTIF('Opportunity Database'!M2:M17,"₹*")</f>
        <v>1</v>
      </c>
      <c r="B10" s="3"/>
      <c r="D10" s="2">
        <f>COUNTIF('Opportunity Database'!K2:K17,"Remote")</f>
        <v>4</v>
      </c>
      <c r="E10" s="3"/>
      <c r="G10" s="2">
        <f>COUNTIFS('Opportunity Database'!N2:N17,"&gt;0",'Opportunity Database'!O2:O17,"&lt;&gt;Closed")</f>
        <v>0</v>
      </c>
      <c r="H10" s="3"/>
      <c r="J10" s="2">
        <f>SUMPRODUCT(('Opportunity Database'!B2:B17&lt;&gt;"")/COUNTIF('Opportunity Database'!B2:B17,'Opportunity Database'!B2:B17&amp;""))</f>
        <v>6</v>
      </c>
      <c r="K10" s="3"/>
      <c r="M10" s="2">
        <f>COUNTIF('Opportunity Database'!O2:O17,"Unverified")</f>
        <v>15</v>
      </c>
      <c r="N10" s="3"/>
      <c r="S10" t="s">
        <v>32</v>
      </c>
      <c r="T10">
        <f>COUNTIF('Opportunity Database'!$E$2:$E$17,S10)</f>
        <v>1</v>
      </c>
    </row>
    <row r="11" spans="1:29" x14ac:dyDescent="0.3">
      <c r="S11" t="s">
        <v>33</v>
      </c>
      <c r="T11">
        <f>COUNTIF('Opportunity Database'!$E$2:$E$17,S11)</f>
        <v>2</v>
      </c>
    </row>
    <row r="12" spans="1:29" x14ac:dyDescent="0.3">
      <c r="S12" t="s">
        <v>39</v>
      </c>
      <c r="T12">
        <f>COUNTIF('Opportunity Database'!$E$2:$E$17,S12)</f>
        <v>1</v>
      </c>
    </row>
    <row r="13" spans="1:29" x14ac:dyDescent="0.3">
      <c r="S13" t="s">
        <v>40</v>
      </c>
      <c r="T13">
        <f>COUNTIF('Opportunity Database'!$E$2:$E$17,S13)</f>
        <v>1</v>
      </c>
    </row>
    <row r="42" spans="8:14" x14ac:dyDescent="0.3">
      <c r="H42" s="5" t="s">
        <v>41</v>
      </c>
      <c r="I42" s="6"/>
      <c r="J42" s="6"/>
      <c r="K42" s="6"/>
      <c r="L42" s="6"/>
      <c r="M42" s="6"/>
      <c r="N42" s="6"/>
    </row>
    <row r="43" spans="8:14" x14ac:dyDescent="0.3">
      <c r="H43" s="7" t="s">
        <v>42</v>
      </c>
      <c r="I43" s="6"/>
      <c r="J43" s="6"/>
      <c r="K43" s="6"/>
      <c r="L43" s="6"/>
      <c r="M43" s="6"/>
      <c r="N43" s="6"/>
    </row>
    <row r="44" spans="8:14" x14ac:dyDescent="0.3">
      <c r="H44" s="6"/>
      <c r="I44" s="6"/>
      <c r="J44" s="6"/>
      <c r="K44" s="6"/>
      <c r="L44" s="6"/>
      <c r="M44" s="6"/>
      <c r="N44" s="6"/>
    </row>
    <row r="45" spans="8:14" x14ac:dyDescent="0.3">
      <c r="H45" s="6"/>
      <c r="I45" s="6"/>
      <c r="J45" s="6"/>
      <c r="K45" s="6"/>
      <c r="L45" s="6"/>
      <c r="M45" s="6"/>
      <c r="N45" s="6"/>
    </row>
    <row r="46" spans="8:14" x14ac:dyDescent="0.3">
      <c r="H46" s="6"/>
      <c r="I46" s="6"/>
      <c r="J46" s="6"/>
      <c r="K46" s="6"/>
      <c r="L46" s="6"/>
      <c r="M46" s="6"/>
      <c r="N46" s="6"/>
    </row>
  </sheetData>
  <mergeCells count="25">
    <mergeCell ref="A1:N2"/>
    <mergeCell ref="A10:B10"/>
    <mergeCell ref="A9:B9"/>
    <mergeCell ref="G9:H9"/>
    <mergeCell ref="A3:N3"/>
    <mergeCell ref="D7:E7"/>
    <mergeCell ref="M6:N6"/>
    <mergeCell ref="J7:K7"/>
    <mergeCell ref="A5:N5"/>
    <mergeCell ref="H43:N46"/>
    <mergeCell ref="G10:H10"/>
    <mergeCell ref="M10:N10"/>
    <mergeCell ref="G6:H6"/>
    <mergeCell ref="M7:N7"/>
    <mergeCell ref="D10:E10"/>
    <mergeCell ref="J10:K10"/>
    <mergeCell ref="M9:N9"/>
    <mergeCell ref="H42:N42"/>
    <mergeCell ref="A6:B6"/>
    <mergeCell ref="J9:K9"/>
    <mergeCell ref="D6:E6"/>
    <mergeCell ref="A7:B7"/>
    <mergeCell ref="G7:H7"/>
    <mergeCell ref="J6:K6"/>
    <mergeCell ref="D9:E9"/>
  </mergeCells>
  <pageMargins left="0.75" right="0.75" top="1" bottom="1" header="0.5" footer="0.5"/>
  <pageSetup fitToHeight="2"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6324F"/>
  </sheetPr>
  <dimension ref="A1:S17"/>
  <sheetViews>
    <sheetView zoomScale="85" workbookViewId="0">
      <pane ySplit="1" topLeftCell="A2" activePane="bottomLeft" state="frozen"/>
      <selection pane="bottomLeft" activeCell="C2" sqref="C2"/>
    </sheetView>
  </sheetViews>
  <sheetFormatPr defaultRowHeight="14.4" x14ac:dyDescent="0.3"/>
  <cols>
    <col min="1" max="1" width="14" style="13" customWidth="1"/>
    <col min="2" max="2" width="34" style="13" customWidth="1"/>
    <col min="3" max="3" width="42" style="13" customWidth="1"/>
    <col min="4" max="4" width="22" style="13" customWidth="1"/>
    <col min="5" max="5" width="30" style="13" customWidth="1"/>
    <col min="6" max="6" width="58" style="13" customWidth="1"/>
    <col min="7" max="7" width="50" style="13" customWidth="1"/>
    <col min="8" max="8" width="48" style="13" customWidth="1"/>
    <col min="9" max="9" width="24" style="13" customWidth="1"/>
    <col min="10" max="10" width="42" style="13" customWidth="1"/>
    <col min="11" max="11" width="18" style="13" customWidth="1"/>
    <col min="12" max="12" width="32" style="13" customWidth="1"/>
    <col min="13" max="13" width="34" style="13" customWidth="1"/>
    <col min="14" max="14" width="20" style="13" customWidth="1"/>
    <col min="15" max="15" width="18" style="13" customWidth="1"/>
    <col min="16" max="17" width="50" style="13" customWidth="1"/>
    <col min="18" max="18" width="16" style="13" customWidth="1"/>
    <col min="19" max="19" width="70" style="13" customWidth="1"/>
    <col min="20" max="16384" width="8.88671875" style="13"/>
  </cols>
  <sheetData>
    <row r="1" spans="1:19" ht="36" customHeight="1" x14ac:dyDescent="0.3">
      <c r="A1" s="12" t="s">
        <v>43</v>
      </c>
      <c r="B1" s="12" t="s">
        <v>44</v>
      </c>
      <c r="C1" s="12" t="s">
        <v>45</v>
      </c>
      <c r="D1" s="12" t="s">
        <v>3</v>
      </c>
      <c r="E1" s="12" t="s">
        <v>1</v>
      </c>
      <c r="F1" s="12" t="s">
        <v>46</v>
      </c>
      <c r="G1" s="12" t="s">
        <v>47</v>
      </c>
      <c r="H1" s="12" t="s">
        <v>48</v>
      </c>
      <c r="I1" s="12" t="s">
        <v>49</v>
      </c>
      <c r="J1" s="12" t="s">
        <v>50</v>
      </c>
      <c r="K1" s="12" t="s">
        <v>4</v>
      </c>
      <c r="L1" s="12" t="s">
        <v>51</v>
      </c>
      <c r="M1" s="12" t="s">
        <v>52</v>
      </c>
      <c r="N1" s="12" t="s">
        <v>53</v>
      </c>
      <c r="O1" s="12" t="s">
        <v>5</v>
      </c>
      <c r="P1" s="12" t="s">
        <v>54</v>
      </c>
      <c r="Q1" s="12" t="s">
        <v>55</v>
      </c>
      <c r="R1" s="12" t="s">
        <v>56</v>
      </c>
      <c r="S1" s="12" t="s">
        <v>57</v>
      </c>
    </row>
    <row r="2" spans="1:19" ht="82.05" customHeight="1" x14ac:dyDescent="0.3">
      <c r="A2" s="14" t="s">
        <v>58</v>
      </c>
      <c r="B2" s="14" t="s">
        <v>59</v>
      </c>
      <c r="C2" s="14" t="s">
        <v>60</v>
      </c>
      <c r="D2" s="14" t="s">
        <v>13</v>
      </c>
      <c r="E2" s="14" t="s">
        <v>32</v>
      </c>
      <c r="F2" s="14" t="s">
        <v>61</v>
      </c>
      <c r="G2" s="14" t="s">
        <v>62</v>
      </c>
      <c r="H2" s="14" t="s">
        <v>63</v>
      </c>
      <c r="I2" s="14" t="s">
        <v>64</v>
      </c>
      <c r="J2" s="14" t="s">
        <v>65</v>
      </c>
      <c r="K2" s="14" t="s">
        <v>19</v>
      </c>
      <c r="L2" s="14" t="s">
        <v>66</v>
      </c>
      <c r="M2" s="14" t="s">
        <v>64</v>
      </c>
      <c r="N2" s="15" t="s">
        <v>67</v>
      </c>
      <c r="O2" s="14" t="s">
        <v>25</v>
      </c>
      <c r="P2" s="16" t="s">
        <v>68</v>
      </c>
      <c r="Q2" s="16" t="s">
        <v>68</v>
      </c>
      <c r="R2" s="15">
        <v>46293</v>
      </c>
      <c r="S2" s="14" t="s">
        <v>69</v>
      </c>
    </row>
    <row r="3" spans="1:19" ht="82.05" customHeight="1" x14ac:dyDescent="0.3">
      <c r="A3" s="14" t="s">
        <v>70</v>
      </c>
      <c r="B3" s="14" t="s">
        <v>59</v>
      </c>
      <c r="C3" s="14" t="s">
        <v>71</v>
      </c>
      <c r="D3" s="14" t="s">
        <v>13</v>
      </c>
      <c r="E3" s="14" t="s">
        <v>31</v>
      </c>
      <c r="F3" s="14" t="s">
        <v>72</v>
      </c>
      <c r="G3" s="14" t="s">
        <v>73</v>
      </c>
      <c r="H3" s="14" t="s">
        <v>74</v>
      </c>
      <c r="I3" s="14" t="s">
        <v>64</v>
      </c>
      <c r="J3" s="14" t="s">
        <v>75</v>
      </c>
      <c r="K3" s="14" t="s">
        <v>19</v>
      </c>
      <c r="L3" s="14" t="s">
        <v>76</v>
      </c>
      <c r="M3" s="14" t="s">
        <v>64</v>
      </c>
      <c r="N3" s="15" t="s">
        <v>67</v>
      </c>
      <c r="O3" s="14" t="s">
        <v>25</v>
      </c>
      <c r="P3" s="16" t="s">
        <v>68</v>
      </c>
      <c r="Q3" s="16" t="s">
        <v>68</v>
      </c>
      <c r="R3" s="15">
        <v>46293</v>
      </c>
      <c r="S3" s="14" t="s">
        <v>77</v>
      </c>
    </row>
    <row r="4" spans="1:19" ht="82.05" customHeight="1" x14ac:dyDescent="0.3">
      <c r="A4" s="14" t="s">
        <v>78</v>
      </c>
      <c r="B4" s="14" t="s">
        <v>59</v>
      </c>
      <c r="C4" s="14" t="s">
        <v>79</v>
      </c>
      <c r="D4" s="14" t="s">
        <v>13</v>
      </c>
      <c r="E4" s="14" t="s">
        <v>7</v>
      </c>
      <c r="F4" s="14" t="s">
        <v>80</v>
      </c>
      <c r="G4" s="14" t="s">
        <v>81</v>
      </c>
      <c r="H4" s="14" t="s">
        <v>82</v>
      </c>
      <c r="I4" s="14" t="s">
        <v>64</v>
      </c>
      <c r="J4" s="14" t="s">
        <v>83</v>
      </c>
      <c r="K4" s="14" t="s">
        <v>19</v>
      </c>
      <c r="L4" s="14" t="s">
        <v>84</v>
      </c>
      <c r="M4" s="14" t="s">
        <v>64</v>
      </c>
      <c r="N4" s="15" t="s">
        <v>67</v>
      </c>
      <c r="O4" s="14" t="s">
        <v>25</v>
      </c>
      <c r="P4" s="16" t="s">
        <v>68</v>
      </c>
      <c r="Q4" s="16" t="s">
        <v>68</v>
      </c>
      <c r="R4" s="15">
        <v>46293</v>
      </c>
      <c r="S4" s="14" t="s">
        <v>85</v>
      </c>
    </row>
    <row r="5" spans="1:19" ht="82.05" customHeight="1" x14ac:dyDescent="0.3">
      <c r="A5" s="14" t="s">
        <v>86</v>
      </c>
      <c r="B5" s="14" t="s">
        <v>87</v>
      </c>
      <c r="C5" s="14" t="s">
        <v>88</v>
      </c>
      <c r="D5" s="14" t="s">
        <v>13</v>
      </c>
      <c r="E5" s="14" t="s">
        <v>12</v>
      </c>
      <c r="F5" s="14" t="s">
        <v>89</v>
      </c>
      <c r="G5" s="14" t="s">
        <v>90</v>
      </c>
      <c r="H5" s="14" t="s">
        <v>91</v>
      </c>
      <c r="I5" s="14" t="s">
        <v>64</v>
      </c>
      <c r="J5" s="14" t="s">
        <v>92</v>
      </c>
      <c r="K5" s="14" t="s">
        <v>9</v>
      </c>
      <c r="L5" s="14" t="s">
        <v>93</v>
      </c>
      <c r="M5" s="14" t="s">
        <v>94</v>
      </c>
      <c r="N5" s="15" t="s">
        <v>67</v>
      </c>
      <c r="O5" s="14" t="s">
        <v>25</v>
      </c>
      <c r="P5" s="16" t="s">
        <v>95</v>
      </c>
      <c r="Q5" s="16" t="s">
        <v>95</v>
      </c>
      <c r="R5" s="15">
        <v>46293</v>
      </c>
      <c r="S5" s="14" t="s">
        <v>96</v>
      </c>
    </row>
    <row r="6" spans="1:19" ht="82.05" customHeight="1" x14ac:dyDescent="0.3">
      <c r="A6" s="14" t="s">
        <v>97</v>
      </c>
      <c r="B6" s="14" t="s">
        <v>87</v>
      </c>
      <c r="C6" s="14" t="s">
        <v>98</v>
      </c>
      <c r="D6" s="14" t="s">
        <v>13</v>
      </c>
      <c r="E6" s="14" t="s">
        <v>12</v>
      </c>
      <c r="F6" s="14" t="s">
        <v>99</v>
      </c>
      <c r="G6" s="14" t="s">
        <v>100</v>
      </c>
      <c r="H6" s="14" t="s">
        <v>101</v>
      </c>
      <c r="I6" s="14" t="s">
        <v>64</v>
      </c>
      <c r="J6" s="14" t="s">
        <v>102</v>
      </c>
      <c r="K6" s="14" t="s">
        <v>9</v>
      </c>
      <c r="L6" s="14" t="s">
        <v>93</v>
      </c>
      <c r="M6" s="14" t="s">
        <v>94</v>
      </c>
      <c r="N6" s="15" t="s">
        <v>67</v>
      </c>
      <c r="O6" s="14" t="s">
        <v>25</v>
      </c>
      <c r="P6" s="16" t="s">
        <v>95</v>
      </c>
      <c r="Q6" s="16" t="s">
        <v>95</v>
      </c>
      <c r="R6" s="15">
        <v>46293</v>
      </c>
      <c r="S6" s="14" t="s">
        <v>103</v>
      </c>
    </row>
    <row r="7" spans="1:19" ht="82.05" customHeight="1" x14ac:dyDescent="0.3">
      <c r="A7" s="14" t="s">
        <v>104</v>
      </c>
      <c r="B7" s="14" t="s">
        <v>87</v>
      </c>
      <c r="C7" s="14" t="s">
        <v>105</v>
      </c>
      <c r="D7" s="14" t="s">
        <v>13</v>
      </c>
      <c r="E7" s="14" t="s">
        <v>106</v>
      </c>
      <c r="F7" s="14" t="s">
        <v>107</v>
      </c>
      <c r="G7" s="14" t="s">
        <v>108</v>
      </c>
      <c r="H7" s="14" t="s">
        <v>109</v>
      </c>
      <c r="I7" s="14" t="s">
        <v>64</v>
      </c>
      <c r="J7" s="14" t="s">
        <v>110</v>
      </c>
      <c r="K7" s="14" t="s">
        <v>9</v>
      </c>
      <c r="L7" s="14" t="s">
        <v>93</v>
      </c>
      <c r="M7" s="14" t="s">
        <v>94</v>
      </c>
      <c r="N7" s="15" t="s">
        <v>67</v>
      </c>
      <c r="O7" s="14" t="s">
        <v>25</v>
      </c>
      <c r="P7" s="16" t="s">
        <v>95</v>
      </c>
      <c r="Q7" s="16" t="s">
        <v>95</v>
      </c>
      <c r="R7" s="15">
        <v>46293</v>
      </c>
      <c r="S7" s="14" t="s">
        <v>111</v>
      </c>
    </row>
    <row r="8" spans="1:19" ht="82.05" customHeight="1" x14ac:dyDescent="0.3">
      <c r="A8" s="14" t="s">
        <v>112</v>
      </c>
      <c r="B8" s="14" t="s">
        <v>87</v>
      </c>
      <c r="C8" s="14" t="s">
        <v>113</v>
      </c>
      <c r="D8" s="14" t="s">
        <v>13</v>
      </c>
      <c r="E8" s="14" t="s">
        <v>33</v>
      </c>
      <c r="F8" s="14" t="s">
        <v>114</v>
      </c>
      <c r="G8" s="14" t="s">
        <v>115</v>
      </c>
      <c r="H8" s="14" t="s">
        <v>116</v>
      </c>
      <c r="I8" s="14" t="s">
        <v>64</v>
      </c>
      <c r="J8" s="14" t="s">
        <v>117</v>
      </c>
      <c r="K8" s="14" t="s">
        <v>9</v>
      </c>
      <c r="L8" s="14" t="s">
        <v>118</v>
      </c>
      <c r="M8" s="14" t="s">
        <v>94</v>
      </c>
      <c r="N8" s="15" t="s">
        <v>67</v>
      </c>
      <c r="O8" s="14" t="s">
        <v>25</v>
      </c>
      <c r="P8" s="16" t="s">
        <v>95</v>
      </c>
      <c r="Q8" s="16" t="s">
        <v>95</v>
      </c>
      <c r="R8" s="15">
        <v>46293</v>
      </c>
      <c r="S8" s="14" t="s">
        <v>119</v>
      </c>
    </row>
    <row r="9" spans="1:19" ht="82.05" customHeight="1" x14ac:dyDescent="0.3">
      <c r="A9" s="14" t="s">
        <v>120</v>
      </c>
      <c r="B9" s="14" t="s">
        <v>121</v>
      </c>
      <c r="C9" s="14" t="s">
        <v>122</v>
      </c>
      <c r="D9" s="14" t="s">
        <v>8</v>
      </c>
      <c r="E9" s="14" t="s">
        <v>18</v>
      </c>
      <c r="F9" s="14" t="s">
        <v>123</v>
      </c>
      <c r="G9" s="14" t="s">
        <v>124</v>
      </c>
      <c r="H9" s="14" t="s">
        <v>125</v>
      </c>
      <c r="I9" s="14" t="s">
        <v>126</v>
      </c>
      <c r="J9" s="14" t="s">
        <v>127</v>
      </c>
      <c r="K9" s="14" t="s">
        <v>19</v>
      </c>
      <c r="L9" s="14" t="s">
        <v>128</v>
      </c>
      <c r="M9" s="14" t="s">
        <v>129</v>
      </c>
      <c r="N9" s="15" t="s">
        <v>67</v>
      </c>
      <c r="O9" s="14" t="s">
        <v>25</v>
      </c>
      <c r="P9" s="16" t="s">
        <v>130</v>
      </c>
      <c r="Q9" s="16" t="s">
        <v>130</v>
      </c>
      <c r="R9" s="15">
        <v>46293</v>
      </c>
      <c r="S9" s="14" t="s">
        <v>131</v>
      </c>
    </row>
    <row r="10" spans="1:19" ht="82.05" customHeight="1" x14ac:dyDescent="0.3">
      <c r="A10" s="14" t="s">
        <v>132</v>
      </c>
      <c r="B10" s="14" t="s">
        <v>121</v>
      </c>
      <c r="C10" s="14" t="s">
        <v>133</v>
      </c>
      <c r="D10" s="14" t="s">
        <v>8</v>
      </c>
      <c r="E10" s="14" t="s">
        <v>18</v>
      </c>
      <c r="F10" s="14" t="s">
        <v>134</v>
      </c>
      <c r="G10" s="14" t="s">
        <v>135</v>
      </c>
      <c r="H10" s="14" t="s">
        <v>136</v>
      </c>
      <c r="I10" s="14" t="s">
        <v>137</v>
      </c>
      <c r="J10" s="14" t="s">
        <v>138</v>
      </c>
      <c r="K10" s="14" t="s">
        <v>25</v>
      </c>
      <c r="L10" s="14" t="s">
        <v>139</v>
      </c>
      <c r="M10" s="14" t="s">
        <v>129</v>
      </c>
      <c r="N10" s="15" t="s">
        <v>67</v>
      </c>
      <c r="O10" s="14" t="s">
        <v>25</v>
      </c>
      <c r="P10" s="16" t="s">
        <v>130</v>
      </c>
      <c r="Q10" s="16" t="s">
        <v>130</v>
      </c>
      <c r="R10" s="15">
        <v>46293</v>
      </c>
      <c r="S10" s="14" t="s">
        <v>140</v>
      </c>
    </row>
    <row r="11" spans="1:19" ht="82.05" customHeight="1" x14ac:dyDescent="0.3">
      <c r="A11" s="14" t="s">
        <v>141</v>
      </c>
      <c r="B11" s="14" t="s">
        <v>121</v>
      </c>
      <c r="C11" s="14" t="s">
        <v>142</v>
      </c>
      <c r="D11" s="14" t="s">
        <v>8</v>
      </c>
      <c r="E11" s="14" t="s">
        <v>33</v>
      </c>
      <c r="F11" s="14" t="s">
        <v>143</v>
      </c>
      <c r="G11" s="14" t="s">
        <v>144</v>
      </c>
      <c r="H11" s="14" t="s">
        <v>145</v>
      </c>
      <c r="I11" s="14" t="s">
        <v>146</v>
      </c>
      <c r="J11" s="14" t="s">
        <v>147</v>
      </c>
      <c r="K11" s="14" t="s">
        <v>25</v>
      </c>
      <c r="L11" s="14" t="s">
        <v>148</v>
      </c>
      <c r="M11" s="14" t="s">
        <v>149</v>
      </c>
      <c r="N11" s="15" t="s">
        <v>67</v>
      </c>
      <c r="O11" s="14" t="s">
        <v>25</v>
      </c>
      <c r="P11" s="16" t="s">
        <v>130</v>
      </c>
      <c r="Q11" s="16" t="s">
        <v>130</v>
      </c>
      <c r="R11" s="15">
        <v>46293</v>
      </c>
      <c r="S11" s="14" t="s">
        <v>150</v>
      </c>
    </row>
    <row r="12" spans="1:19" ht="82.05" customHeight="1" x14ac:dyDescent="0.3">
      <c r="A12" s="14" t="s">
        <v>151</v>
      </c>
      <c r="B12" s="14" t="s">
        <v>121</v>
      </c>
      <c r="C12" s="14" t="s">
        <v>152</v>
      </c>
      <c r="D12" s="14" t="s">
        <v>8</v>
      </c>
      <c r="E12" s="14" t="s">
        <v>18</v>
      </c>
      <c r="F12" s="14" t="s">
        <v>153</v>
      </c>
      <c r="G12" s="14" t="s">
        <v>154</v>
      </c>
      <c r="H12" s="14" t="s">
        <v>155</v>
      </c>
      <c r="I12" s="14" t="s">
        <v>64</v>
      </c>
      <c r="J12" s="14" t="s">
        <v>156</v>
      </c>
      <c r="K12" s="14" t="s">
        <v>19</v>
      </c>
      <c r="L12" s="14" t="s">
        <v>157</v>
      </c>
      <c r="M12" s="14" t="s">
        <v>158</v>
      </c>
      <c r="N12" s="15" t="s">
        <v>67</v>
      </c>
      <c r="O12" s="14" t="s">
        <v>25</v>
      </c>
      <c r="P12" s="16" t="s">
        <v>130</v>
      </c>
      <c r="Q12" s="16" t="s">
        <v>130</v>
      </c>
      <c r="R12" s="15">
        <v>46293</v>
      </c>
      <c r="S12" s="14" t="s">
        <v>159</v>
      </c>
    </row>
    <row r="13" spans="1:19" ht="82.05" customHeight="1" x14ac:dyDescent="0.3">
      <c r="A13" s="14" t="s">
        <v>160</v>
      </c>
      <c r="B13" s="14" t="s">
        <v>161</v>
      </c>
      <c r="C13" s="14" t="s">
        <v>162</v>
      </c>
      <c r="D13" s="14" t="s">
        <v>8</v>
      </c>
      <c r="E13" s="14" t="s">
        <v>23</v>
      </c>
      <c r="F13" s="14" t="s">
        <v>163</v>
      </c>
      <c r="G13" s="14" t="s">
        <v>164</v>
      </c>
      <c r="H13" s="14" t="s">
        <v>165</v>
      </c>
      <c r="I13" s="14" t="s">
        <v>166</v>
      </c>
      <c r="J13" s="14" t="s">
        <v>167</v>
      </c>
      <c r="K13" s="14" t="s">
        <v>14</v>
      </c>
      <c r="L13" s="14" t="s">
        <v>168</v>
      </c>
      <c r="M13" s="14" t="s">
        <v>169</v>
      </c>
      <c r="N13" s="15" t="s">
        <v>67</v>
      </c>
      <c r="O13" s="14" t="s">
        <v>10</v>
      </c>
      <c r="P13" s="16" t="s">
        <v>170</v>
      </c>
      <c r="Q13" s="16" t="s">
        <v>170</v>
      </c>
      <c r="R13" s="15">
        <v>46293</v>
      </c>
      <c r="S13" s="14" t="s">
        <v>171</v>
      </c>
    </row>
    <row r="14" spans="1:19" ht="82.05" customHeight="1" x14ac:dyDescent="0.3">
      <c r="A14" s="14" t="s">
        <v>172</v>
      </c>
      <c r="B14" s="14" t="s">
        <v>161</v>
      </c>
      <c r="C14" s="14" t="s">
        <v>173</v>
      </c>
      <c r="D14" s="14" t="s">
        <v>8</v>
      </c>
      <c r="E14" s="14" t="s">
        <v>39</v>
      </c>
      <c r="F14" s="14" t="s">
        <v>174</v>
      </c>
      <c r="G14" s="14" t="s">
        <v>175</v>
      </c>
      <c r="H14" s="14" t="s">
        <v>176</v>
      </c>
      <c r="I14" s="14" t="s">
        <v>64</v>
      </c>
      <c r="J14" s="14" t="s">
        <v>177</v>
      </c>
      <c r="K14" s="14" t="s">
        <v>19</v>
      </c>
      <c r="L14" s="14" t="s">
        <v>64</v>
      </c>
      <c r="M14" s="14" t="s">
        <v>64</v>
      </c>
      <c r="N14" s="15" t="s">
        <v>67</v>
      </c>
      <c r="O14" s="14" t="s">
        <v>25</v>
      </c>
      <c r="P14" s="16" t="s">
        <v>178</v>
      </c>
      <c r="Q14" s="16" t="s">
        <v>178</v>
      </c>
      <c r="R14" s="15">
        <v>46293</v>
      </c>
      <c r="S14" s="14" t="s">
        <v>179</v>
      </c>
    </row>
    <row r="15" spans="1:19" ht="82.05" customHeight="1" x14ac:dyDescent="0.3">
      <c r="A15" s="14" t="s">
        <v>180</v>
      </c>
      <c r="B15" s="14" t="s">
        <v>181</v>
      </c>
      <c r="C15" s="14" t="s">
        <v>182</v>
      </c>
      <c r="D15" s="14" t="s">
        <v>8</v>
      </c>
      <c r="E15" s="14" t="s">
        <v>40</v>
      </c>
      <c r="F15" s="14" t="s">
        <v>183</v>
      </c>
      <c r="G15" s="14" t="s">
        <v>184</v>
      </c>
      <c r="H15" s="14" t="s">
        <v>185</v>
      </c>
      <c r="I15" s="14" t="s">
        <v>186</v>
      </c>
      <c r="J15" s="14" t="s">
        <v>187</v>
      </c>
      <c r="K15" s="14" t="s">
        <v>19</v>
      </c>
      <c r="L15" s="14" t="s">
        <v>64</v>
      </c>
      <c r="M15" s="14" t="s">
        <v>64</v>
      </c>
      <c r="N15" s="15" t="s">
        <v>67</v>
      </c>
      <c r="O15" s="14" t="s">
        <v>25</v>
      </c>
      <c r="P15" s="16" t="s">
        <v>188</v>
      </c>
      <c r="Q15" s="16" t="s">
        <v>188</v>
      </c>
      <c r="R15" s="15">
        <v>46293</v>
      </c>
      <c r="S15" s="14" t="s">
        <v>189</v>
      </c>
    </row>
    <row r="16" spans="1:19" ht="82.05" customHeight="1" x14ac:dyDescent="0.3">
      <c r="A16" s="14" t="s">
        <v>190</v>
      </c>
      <c r="B16" s="14" t="s">
        <v>181</v>
      </c>
      <c r="C16" s="14" t="s">
        <v>191</v>
      </c>
      <c r="D16" s="14" t="s">
        <v>13</v>
      </c>
      <c r="E16" s="14" t="s">
        <v>17</v>
      </c>
      <c r="F16" s="14" t="s">
        <v>192</v>
      </c>
      <c r="G16" s="14" t="s">
        <v>193</v>
      </c>
      <c r="H16" s="14" t="s">
        <v>194</v>
      </c>
      <c r="I16" s="14" t="s">
        <v>64</v>
      </c>
      <c r="J16" s="14" t="s">
        <v>195</v>
      </c>
      <c r="K16" s="14" t="s">
        <v>19</v>
      </c>
      <c r="L16" s="14" t="s">
        <v>196</v>
      </c>
      <c r="M16" s="14" t="s">
        <v>94</v>
      </c>
      <c r="N16" s="15" t="s">
        <v>67</v>
      </c>
      <c r="O16" s="14" t="s">
        <v>25</v>
      </c>
      <c r="P16" s="16" t="s">
        <v>197</v>
      </c>
      <c r="Q16" s="16" t="s">
        <v>197</v>
      </c>
      <c r="R16" s="15">
        <v>46293</v>
      </c>
      <c r="S16" s="14" t="s">
        <v>198</v>
      </c>
    </row>
    <row r="17" spans="1:19" ht="82.05" customHeight="1" x14ac:dyDescent="0.3">
      <c r="A17" s="14" t="s">
        <v>199</v>
      </c>
      <c r="B17" s="14" t="s">
        <v>200</v>
      </c>
      <c r="C17" s="14" t="s">
        <v>201</v>
      </c>
      <c r="D17" s="14" t="s">
        <v>13</v>
      </c>
      <c r="E17" s="14" t="s">
        <v>7</v>
      </c>
      <c r="F17" s="14" t="s">
        <v>202</v>
      </c>
      <c r="G17" s="14" t="s">
        <v>203</v>
      </c>
      <c r="H17" s="14" t="s">
        <v>204</v>
      </c>
      <c r="I17" s="14" t="s">
        <v>64</v>
      </c>
      <c r="J17" s="14" t="s">
        <v>205</v>
      </c>
      <c r="K17" s="14" t="s">
        <v>25</v>
      </c>
      <c r="L17" s="14" t="s">
        <v>206</v>
      </c>
      <c r="M17" s="14" t="s">
        <v>94</v>
      </c>
      <c r="N17" s="15" t="s">
        <v>67</v>
      </c>
      <c r="O17" s="14" t="s">
        <v>25</v>
      </c>
      <c r="P17" s="16" t="s">
        <v>207</v>
      </c>
      <c r="Q17" s="16" t="s">
        <v>207</v>
      </c>
      <c r="R17" s="15">
        <v>46293</v>
      </c>
      <c r="S17" s="14" t="s">
        <v>208</v>
      </c>
    </row>
  </sheetData>
  <conditionalFormatting sqref="A2:A1000">
    <cfRule type="expression" dxfId="4" priority="5">
      <formula>COUNTIF($A$2:$A$1000,A2)&gt;1</formula>
    </cfRule>
  </conditionalFormatting>
  <conditionalFormatting sqref="O2:O17">
    <cfRule type="expression" dxfId="3" priority="1">
      <formula>O2="Open"</formula>
    </cfRule>
    <cfRule type="expression" dxfId="2" priority="2">
      <formula>O2="Upcoming"</formula>
    </cfRule>
    <cfRule type="expression" dxfId="1" priority="3">
      <formula>O2="Unverified"</formula>
    </cfRule>
    <cfRule type="expression" dxfId="0" priority="4">
      <formula>O2="Closed"</formula>
    </cfRule>
  </conditionalFormatting>
  <dataValidations count="3">
    <dataValidation type="list" allowBlank="1" error="Choose a value from the dropdown list." sqref="D2:D1000" xr:uid="{00000000-0002-0000-0100-000000000000}">
      <formula1>"Volunteer Programme,Internship,Fellowship,Community Initiative,Other"</formula1>
    </dataValidation>
    <dataValidation type="list" allowBlank="1" error="Choose a value from the dropdown list." sqref="K2:K1000" xr:uid="{00000000-0002-0000-0100-000001000000}">
      <formula1>"Remote,Hybrid,On-site,Unverified"</formula1>
    </dataValidation>
    <dataValidation type="list" allowBlank="1" error="Choose a value from the dropdown list." sqref="O2:O1000" xr:uid="{00000000-0002-0000-0100-000002000000}">
      <formula1>"Open,Upcoming,Closed,Unverified"</formula1>
    </dataValidation>
  </dataValidations>
  <hyperlinks>
    <hyperlink ref="P2" r:id="rId1" xr:uid="{00000000-0004-0000-0100-000000000000}"/>
    <hyperlink ref="Q2" r:id="rId2" xr:uid="{00000000-0004-0000-0100-000001000000}"/>
    <hyperlink ref="P3" r:id="rId3" xr:uid="{00000000-0004-0000-0100-000002000000}"/>
    <hyperlink ref="Q3" r:id="rId4" xr:uid="{00000000-0004-0000-0100-000003000000}"/>
    <hyperlink ref="P4" r:id="rId5" xr:uid="{00000000-0004-0000-0100-000004000000}"/>
    <hyperlink ref="Q4" r:id="rId6" xr:uid="{00000000-0004-0000-0100-000005000000}"/>
    <hyperlink ref="P5" r:id="rId7" xr:uid="{00000000-0004-0000-0100-000006000000}"/>
    <hyperlink ref="Q5" r:id="rId8" xr:uid="{00000000-0004-0000-0100-000007000000}"/>
    <hyperlink ref="P6" r:id="rId9" xr:uid="{00000000-0004-0000-0100-000008000000}"/>
    <hyperlink ref="Q6" r:id="rId10" xr:uid="{00000000-0004-0000-0100-000009000000}"/>
    <hyperlink ref="P7" r:id="rId11" xr:uid="{00000000-0004-0000-0100-00000A000000}"/>
    <hyperlink ref="Q7" r:id="rId12" xr:uid="{00000000-0004-0000-0100-00000B000000}"/>
    <hyperlink ref="P8" r:id="rId13" xr:uid="{00000000-0004-0000-0100-00000C000000}"/>
    <hyperlink ref="Q8" r:id="rId14" xr:uid="{00000000-0004-0000-0100-00000D000000}"/>
    <hyperlink ref="P9" r:id="rId15" xr:uid="{00000000-0004-0000-0100-00000E000000}"/>
    <hyperlink ref="Q9" r:id="rId16" xr:uid="{00000000-0004-0000-0100-00000F000000}"/>
    <hyperlink ref="P10" r:id="rId17" xr:uid="{00000000-0004-0000-0100-000010000000}"/>
    <hyperlink ref="Q10" r:id="rId18" xr:uid="{00000000-0004-0000-0100-000011000000}"/>
    <hyperlink ref="P11" r:id="rId19" xr:uid="{00000000-0004-0000-0100-000012000000}"/>
    <hyperlink ref="Q11" r:id="rId20" xr:uid="{00000000-0004-0000-0100-000013000000}"/>
    <hyperlink ref="P12" r:id="rId21" xr:uid="{00000000-0004-0000-0100-000014000000}"/>
    <hyperlink ref="Q12" r:id="rId22" xr:uid="{00000000-0004-0000-0100-000015000000}"/>
    <hyperlink ref="P13" r:id="rId23" xr:uid="{00000000-0004-0000-0100-000016000000}"/>
    <hyperlink ref="Q13" r:id="rId24" xr:uid="{00000000-0004-0000-0100-000017000000}"/>
    <hyperlink ref="P14" r:id="rId25" xr:uid="{00000000-0004-0000-0100-000018000000}"/>
    <hyperlink ref="Q14" r:id="rId26" xr:uid="{00000000-0004-0000-0100-000019000000}"/>
    <hyperlink ref="P15" r:id="rId27" xr:uid="{00000000-0004-0000-0100-00001A000000}"/>
    <hyperlink ref="Q15" r:id="rId28" xr:uid="{00000000-0004-0000-0100-00001B000000}"/>
    <hyperlink ref="P16" r:id="rId29" xr:uid="{00000000-0004-0000-0100-00001C000000}"/>
    <hyperlink ref="Q16" r:id="rId30" xr:uid="{00000000-0004-0000-0100-00001D000000}"/>
    <hyperlink ref="P17" r:id="rId31" xr:uid="{00000000-0004-0000-0100-00001E000000}"/>
    <hyperlink ref="Q17" r:id="rId32" xr:uid="{00000000-0004-0000-0100-00001F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4B942"/>
  </sheetPr>
  <dimension ref="A1:G25"/>
  <sheetViews>
    <sheetView workbookViewId="0">
      <pane ySplit="1" topLeftCell="A2" activePane="bottomLeft" state="frozen"/>
      <selection pane="bottomLeft" activeCell="B2" sqref="B2"/>
    </sheetView>
  </sheetViews>
  <sheetFormatPr defaultRowHeight="14.4" x14ac:dyDescent="0.3"/>
  <cols>
    <col min="1" max="1" width="34" style="13" customWidth="1"/>
    <col min="2" max="2" width="44" style="13" customWidth="1"/>
    <col min="3" max="4" width="55" style="13" customWidth="1"/>
    <col min="5" max="5" width="18" style="13" customWidth="1"/>
    <col min="6" max="6" width="22" style="13" customWidth="1"/>
    <col min="7" max="7" width="78" style="13" customWidth="1"/>
    <col min="8" max="16384" width="8.88671875" style="13"/>
  </cols>
  <sheetData>
    <row r="1" spans="1:7" x14ac:dyDescent="0.3">
      <c r="A1" s="17" t="s">
        <v>44</v>
      </c>
      <c r="B1" s="17" t="s">
        <v>209</v>
      </c>
      <c r="C1" s="17" t="s">
        <v>55</v>
      </c>
      <c r="D1" s="17" t="s">
        <v>210</v>
      </c>
      <c r="E1" s="17" t="s">
        <v>211</v>
      </c>
      <c r="F1" s="17" t="s">
        <v>212</v>
      </c>
      <c r="G1" s="17" t="s">
        <v>213</v>
      </c>
    </row>
    <row r="2" spans="1:7" ht="58.05" customHeight="1" x14ac:dyDescent="0.3">
      <c r="A2" s="18" t="s">
        <v>59</v>
      </c>
      <c r="B2" s="18" t="s">
        <v>60</v>
      </c>
      <c r="C2" s="16" t="s">
        <v>68</v>
      </c>
      <c r="D2" s="16" t="s">
        <v>68</v>
      </c>
      <c r="E2" s="19">
        <v>46293</v>
      </c>
      <c r="F2" s="18" t="s">
        <v>25</v>
      </c>
      <c r="G2" s="18" t="s">
        <v>69</v>
      </c>
    </row>
    <row r="3" spans="1:7" ht="58.05" customHeight="1" x14ac:dyDescent="0.3">
      <c r="A3" s="18" t="s">
        <v>59</v>
      </c>
      <c r="B3" s="18" t="s">
        <v>71</v>
      </c>
      <c r="C3" s="16" t="s">
        <v>68</v>
      </c>
      <c r="D3" s="16" t="s">
        <v>68</v>
      </c>
      <c r="E3" s="19">
        <v>46293</v>
      </c>
      <c r="F3" s="18" t="s">
        <v>25</v>
      </c>
      <c r="G3" s="18" t="s">
        <v>77</v>
      </c>
    </row>
    <row r="4" spans="1:7" ht="58.05" customHeight="1" x14ac:dyDescent="0.3">
      <c r="A4" s="18" t="s">
        <v>59</v>
      </c>
      <c r="B4" s="18" t="s">
        <v>79</v>
      </c>
      <c r="C4" s="16" t="s">
        <v>68</v>
      </c>
      <c r="D4" s="16" t="s">
        <v>68</v>
      </c>
      <c r="E4" s="19">
        <v>46293</v>
      </c>
      <c r="F4" s="18" t="s">
        <v>25</v>
      </c>
      <c r="G4" s="18" t="s">
        <v>85</v>
      </c>
    </row>
    <row r="5" spans="1:7" ht="58.05" customHeight="1" x14ac:dyDescent="0.3">
      <c r="A5" s="18" t="s">
        <v>87</v>
      </c>
      <c r="B5" s="18" t="s">
        <v>88</v>
      </c>
      <c r="C5" s="16" t="s">
        <v>95</v>
      </c>
      <c r="D5" s="16" t="s">
        <v>95</v>
      </c>
      <c r="E5" s="19">
        <v>46293</v>
      </c>
      <c r="F5" s="18" t="s">
        <v>25</v>
      </c>
      <c r="G5" s="18" t="s">
        <v>96</v>
      </c>
    </row>
    <row r="6" spans="1:7" ht="58.05" customHeight="1" x14ac:dyDescent="0.3">
      <c r="A6" s="18" t="s">
        <v>87</v>
      </c>
      <c r="B6" s="18" t="s">
        <v>98</v>
      </c>
      <c r="C6" s="16" t="s">
        <v>95</v>
      </c>
      <c r="D6" s="16" t="s">
        <v>95</v>
      </c>
      <c r="E6" s="19">
        <v>46293</v>
      </c>
      <c r="F6" s="18" t="s">
        <v>25</v>
      </c>
      <c r="G6" s="18" t="s">
        <v>103</v>
      </c>
    </row>
    <row r="7" spans="1:7" ht="58.05" customHeight="1" x14ac:dyDescent="0.3">
      <c r="A7" s="18" t="s">
        <v>87</v>
      </c>
      <c r="B7" s="18" t="s">
        <v>105</v>
      </c>
      <c r="C7" s="16" t="s">
        <v>95</v>
      </c>
      <c r="D7" s="16" t="s">
        <v>95</v>
      </c>
      <c r="E7" s="19">
        <v>46293</v>
      </c>
      <c r="F7" s="18" t="s">
        <v>25</v>
      </c>
      <c r="G7" s="18" t="s">
        <v>111</v>
      </c>
    </row>
    <row r="8" spans="1:7" ht="58.05" customHeight="1" x14ac:dyDescent="0.3">
      <c r="A8" s="18" t="s">
        <v>87</v>
      </c>
      <c r="B8" s="18" t="s">
        <v>113</v>
      </c>
      <c r="C8" s="16" t="s">
        <v>95</v>
      </c>
      <c r="D8" s="16" t="s">
        <v>95</v>
      </c>
      <c r="E8" s="19">
        <v>46293</v>
      </c>
      <c r="F8" s="18" t="s">
        <v>25</v>
      </c>
      <c r="G8" s="18" t="s">
        <v>119</v>
      </c>
    </row>
    <row r="9" spans="1:7" ht="58.05" customHeight="1" x14ac:dyDescent="0.3">
      <c r="A9" s="18" t="s">
        <v>121</v>
      </c>
      <c r="B9" s="18" t="s">
        <v>122</v>
      </c>
      <c r="C9" s="16" t="s">
        <v>130</v>
      </c>
      <c r="D9" s="16" t="s">
        <v>130</v>
      </c>
      <c r="E9" s="19">
        <v>46293</v>
      </c>
      <c r="F9" s="18" t="s">
        <v>25</v>
      </c>
      <c r="G9" s="18" t="s">
        <v>131</v>
      </c>
    </row>
    <row r="10" spans="1:7" ht="58.05" customHeight="1" x14ac:dyDescent="0.3">
      <c r="A10" s="18" t="s">
        <v>121</v>
      </c>
      <c r="B10" s="18" t="s">
        <v>133</v>
      </c>
      <c r="C10" s="16" t="s">
        <v>130</v>
      </c>
      <c r="D10" s="16" t="s">
        <v>130</v>
      </c>
      <c r="E10" s="19">
        <v>46293</v>
      </c>
      <c r="F10" s="18" t="s">
        <v>25</v>
      </c>
      <c r="G10" s="18" t="s">
        <v>140</v>
      </c>
    </row>
    <row r="11" spans="1:7" ht="58.05" customHeight="1" x14ac:dyDescent="0.3">
      <c r="A11" s="18" t="s">
        <v>121</v>
      </c>
      <c r="B11" s="18" t="s">
        <v>142</v>
      </c>
      <c r="C11" s="16" t="s">
        <v>130</v>
      </c>
      <c r="D11" s="16" t="s">
        <v>130</v>
      </c>
      <c r="E11" s="19">
        <v>46293</v>
      </c>
      <c r="F11" s="18" t="s">
        <v>25</v>
      </c>
      <c r="G11" s="18" t="s">
        <v>150</v>
      </c>
    </row>
    <row r="12" spans="1:7" ht="58.05" customHeight="1" x14ac:dyDescent="0.3">
      <c r="A12" s="18" t="s">
        <v>121</v>
      </c>
      <c r="B12" s="18" t="s">
        <v>152</v>
      </c>
      <c r="C12" s="16" t="s">
        <v>130</v>
      </c>
      <c r="D12" s="16" t="s">
        <v>130</v>
      </c>
      <c r="E12" s="19">
        <v>46293</v>
      </c>
      <c r="F12" s="18" t="s">
        <v>25</v>
      </c>
      <c r="G12" s="18" t="s">
        <v>159</v>
      </c>
    </row>
    <row r="13" spans="1:7" ht="58.05" customHeight="1" x14ac:dyDescent="0.3">
      <c r="A13" s="18" t="s">
        <v>161</v>
      </c>
      <c r="B13" s="18" t="s">
        <v>162</v>
      </c>
      <c r="C13" s="16" t="s">
        <v>170</v>
      </c>
      <c r="D13" s="16" t="s">
        <v>170</v>
      </c>
      <c r="E13" s="19">
        <v>46293</v>
      </c>
      <c r="F13" s="18" t="s">
        <v>10</v>
      </c>
      <c r="G13" s="18" t="s">
        <v>171</v>
      </c>
    </row>
    <row r="14" spans="1:7" ht="58.05" customHeight="1" x14ac:dyDescent="0.3">
      <c r="A14" s="18" t="s">
        <v>161</v>
      </c>
      <c r="B14" s="18" t="s">
        <v>173</v>
      </c>
      <c r="C14" s="16" t="s">
        <v>178</v>
      </c>
      <c r="D14" s="16" t="s">
        <v>178</v>
      </c>
      <c r="E14" s="19">
        <v>46293</v>
      </c>
      <c r="F14" s="18" t="s">
        <v>25</v>
      </c>
      <c r="G14" s="18" t="s">
        <v>179</v>
      </c>
    </row>
    <row r="15" spans="1:7" ht="58.05" customHeight="1" x14ac:dyDescent="0.3">
      <c r="A15" s="18" t="s">
        <v>181</v>
      </c>
      <c r="B15" s="18" t="s">
        <v>182</v>
      </c>
      <c r="C15" s="16" t="s">
        <v>188</v>
      </c>
      <c r="D15" s="16" t="s">
        <v>188</v>
      </c>
      <c r="E15" s="19">
        <v>46293</v>
      </c>
      <c r="F15" s="18" t="s">
        <v>25</v>
      </c>
      <c r="G15" s="18" t="s">
        <v>189</v>
      </c>
    </row>
    <row r="16" spans="1:7" ht="58.05" customHeight="1" x14ac:dyDescent="0.3">
      <c r="A16" s="18" t="s">
        <v>181</v>
      </c>
      <c r="B16" s="18" t="s">
        <v>191</v>
      </c>
      <c r="C16" s="16" t="s">
        <v>197</v>
      </c>
      <c r="D16" s="16" t="s">
        <v>197</v>
      </c>
      <c r="E16" s="19">
        <v>46293</v>
      </c>
      <c r="F16" s="18" t="s">
        <v>25</v>
      </c>
      <c r="G16" s="18" t="s">
        <v>198</v>
      </c>
    </row>
    <row r="17" spans="1:7" ht="58.05" customHeight="1" x14ac:dyDescent="0.3">
      <c r="A17" s="18" t="s">
        <v>200</v>
      </c>
      <c r="B17" s="18" t="s">
        <v>201</v>
      </c>
      <c r="C17" s="16" t="s">
        <v>207</v>
      </c>
      <c r="D17" s="16" t="s">
        <v>207</v>
      </c>
      <c r="E17" s="19">
        <v>46293</v>
      </c>
      <c r="F17" s="18" t="s">
        <v>25</v>
      </c>
      <c r="G17" s="18" t="s">
        <v>208</v>
      </c>
    </row>
    <row r="19" spans="1:7" ht="40.049999999999997" customHeight="1" x14ac:dyDescent="0.3">
      <c r="A19" s="20" t="s">
        <v>214</v>
      </c>
      <c r="B19" s="18"/>
    </row>
    <row r="20" spans="1:7" ht="40.049999999999997" customHeight="1" x14ac:dyDescent="0.3">
      <c r="A20" s="20" t="s">
        <v>215</v>
      </c>
      <c r="B20" s="18" t="s">
        <v>216</v>
      </c>
    </row>
    <row r="21" spans="1:7" ht="40.049999999999997" customHeight="1" x14ac:dyDescent="0.3">
      <c r="A21" s="20" t="s">
        <v>217</v>
      </c>
      <c r="B21" s="18" t="s">
        <v>218</v>
      </c>
    </row>
    <row r="22" spans="1:7" ht="40.049999999999997" customHeight="1" x14ac:dyDescent="0.3">
      <c r="A22" s="20" t="s">
        <v>219</v>
      </c>
      <c r="B22" s="18" t="s">
        <v>220</v>
      </c>
    </row>
    <row r="23" spans="1:7" ht="40.049999999999997" customHeight="1" x14ac:dyDescent="0.3">
      <c r="A23" s="20" t="s">
        <v>221</v>
      </c>
      <c r="B23" s="18" t="s">
        <v>222</v>
      </c>
    </row>
    <row r="24" spans="1:7" ht="40.049999999999997" customHeight="1" x14ac:dyDescent="0.3">
      <c r="A24" s="20" t="s">
        <v>223</v>
      </c>
      <c r="B24" s="18" t="s">
        <v>224</v>
      </c>
    </row>
    <row r="25" spans="1:7" ht="40.049999999999997" customHeight="1" x14ac:dyDescent="0.3">
      <c r="A25" s="20" t="s">
        <v>225</v>
      </c>
      <c r="B25" s="18" t="s">
        <v>226</v>
      </c>
    </row>
  </sheetData>
  <hyperlinks>
    <hyperlink ref="C2" r:id="rId1" xr:uid="{00000000-0004-0000-0200-000000000000}"/>
    <hyperlink ref="D2" r:id="rId2" xr:uid="{00000000-0004-0000-0200-000001000000}"/>
    <hyperlink ref="C3" r:id="rId3" xr:uid="{00000000-0004-0000-0200-000002000000}"/>
    <hyperlink ref="D3" r:id="rId4" xr:uid="{00000000-0004-0000-0200-000003000000}"/>
    <hyperlink ref="C4" r:id="rId5" xr:uid="{00000000-0004-0000-0200-000004000000}"/>
    <hyperlink ref="D4" r:id="rId6" xr:uid="{00000000-0004-0000-0200-000005000000}"/>
    <hyperlink ref="C5" r:id="rId7" xr:uid="{00000000-0004-0000-0200-000006000000}"/>
    <hyperlink ref="D5" r:id="rId8" xr:uid="{00000000-0004-0000-0200-000007000000}"/>
    <hyperlink ref="C6" r:id="rId9" xr:uid="{00000000-0004-0000-0200-000008000000}"/>
    <hyperlink ref="D6" r:id="rId10" xr:uid="{00000000-0004-0000-0200-000009000000}"/>
    <hyperlink ref="C7" r:id="rId11" xr:uid="{00000000-0004-0000-0200-00000A000000}"/>
    <hyperlink ref="D7" r:id="rId12" xr:uid="{00000000-0004-0000-0200-00000B000000}"/>
    <hyperlink ref="C8" r:id="rId13" xr:uid="{00000000-0004-0000-0200-00000C000000}"/>
    <hyperlink ref="D8" r:id="rId14" xr:uid="{00000000-0004-0000-0200-00000D000000}"/>
    <hyperlink ref="C9" r:id="rId15" xr:uid="{00000000-0004-0000-0200-00000E000000}"/>
    <hyperlink ref="D9" r:id="rId16" xr:uid="{00000000-0004-0000-0200-00000F000000}"/>
    <hyperlink ref="C10" r:id="rId17" xr:uid="{00000000-0004-0000-0200-000010000000}"/>
    <hyperlink ref="D10" r:id="rId18" xr:uid="{00000000-0004-0000-0200-000011000000}"/>
    <hyperlink ref="C11" r:id="rId19" xr:uid="{00000000-0004-0000-0200-000012000000}"/>
    <hyperlink ref="D11" r:id="rId20" xr:uid="{00000000-0004-0000-0200-000013000000}"/>
    <hyperlink ref="C12" r:id="rId21" xr:uid="{00000000-0004-0000-0200-000014000000}"/>
    <hyperlink ref="D12" r:id="rId22" xr:uid="{00000000-0004-0000-0200-000015000000}"/>
    <hyperlink ref="C13" r:id="rId23" xr:uid="{00000000-0004-0000-0200-000016000000}"/>
    <hyperlink ref="D13" r:id="rId24" xr:uid="{00000000-0004-0000-0200-000017000000}"/>
    <hyperlink ref="C14" r:id="rId25" xr:uid="{00000000-0004-0000-0200-000018000000}"/>
    <hyperlink ref="D14" r:id="rId26" xr:uid="{00000000-0004-0000-0200-000019000000}"/>
    <hyperlink ref="C15" r:id="rId27" xr:uid="{00000000-0004-0000-0200-00001A000000}"/>
    <hyperlink ref="D15" r:id="rId28" xr:uid="{00000000-0004-0000-0200-00001B000000}"/>
    <hyperlink ref="C16" r:id="rId29" xr:uid="{00000000-0004-0000-0200-00001C000000}"/>
    <hyperlink ref="D16" r:id="rId30" xr:uid="{00000000-0004-0000-0200-00001D000000}"/>
    <hyperlink ref="C17" r:id="rId31" xr:uid="{00000000-0004-0000-0200-00001E000000}"/>
    <hyperlink ref="D17" r:id="rId32" xr:uid="{00000000-0004-0000-0200-00001F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8DEF"/>
  </sheetPr>
  <dimension ref="A1:F25"/>
  <sheetViews>
    <sheetView showGridLines="0" workbookViewId="0">
      <pane ySplit="8" topLeftCell="A9" activePane="bottomLeft" state="frozen"/>
      <selection pane="bottomLeft" activeCell="B28" sqref="B28"/>
    </sheetView>
  </sheetViews>
  <sheetFormatPr defaultRowHeight="14.4" x14ac:dyDescent="0.3"/>
  <cols>
    <col min="1" max="1" width="40" customWidth="1"/>
    <col min="2" max="2" width="32" customWidth="1"/>
    <col min="3" max="3" width="78" customWidth="1"/>
    <col min="4" max="6" width="16" customWidth="1"/>
  </cols>
  <sheetData>
    <row r="1" spans="1:6" x14ac:dyDescent="0.3">
      <c r="A1" s="11" t="s">
        <v>227</v>
      </c>
      <c r="B1" s="6"/>
      <c r="C1" s="6"/>
      <c r="D1" s="6"/>
      <c r="E1" s="6"/>
      <c r="F1" s="6"/>
    </row>
    <row r="2" spans="1:6" x14ac:dyDescent="0.3">
      <c r="A2" s="6"/>
      <c r="B2" s="6"/>
      <c r="C2" s="6"/>
      <c r="D2" s="6"/>
      <c r="E2" s="6"/>
      <c r="F2" s="6"/>
    </row>
    <row r="4" spans="1:6" ht="15.6" x14ac:dyDescent="0.3">
      <c r="A4" s="9" t="s">
        <v>228</v>
      </c>
      <c r="B4" s="6"/>
      <c r="C4" s="6"/>
      <c r="D4" s="6"/>
      <c r="E4" s="6"/>
      <c r="F4" s="6"/>
    </row>
    <row r="5" spans="1:6" x14ac:dyDescent="0.3">
      <c r="A5" s="7" t="s">
        <v>229</v>
      </c>
      <c r="B5" s="6"/>
      <c r="C5" s="6"/>
      <c r="D5" s="6"/>
      <c r="E5" s="6"/>
      <c r="F5" s="6"/>
    </row>
    <row r="6" spans="1:6" x14ac:dyDescent="0.3">
      <c r="A6" s="6"/>
      <c r="B6" s="6"/>
      <c r="C6" s="6"/>
      <c r="D6" s="6"/>
      <c r="E6" s="6"/>
      <c r="F6" s="6"/>
    </row>
    <row r="7" spans="1:6" x14ac:dyDescent="0.3">
      <c r="A7" s="6"/>
      <c r="B7" s="6"/>
      <c r="C7" s="6"/>
      <c r="D7" s="6"/>
      <c r="E7" s="6"/>
      <c r="F7" s="6"/>
    </row>
    <row r="9" spans="1:6" x14ac:dyDescent="0.3">
      <c r="A9" s="21" t="s">
        <v>230</v>
      </c>
      <c r="B9" s="21" t="s">
        <v>231</v>
      </c>
      <c r="C9" s="21" t="s">
        <v>232</v>
      </c>
    </row>
    <row r="10" spans="1:6" ht="55.95" customHeight="1" x14ac:dyDescent="0.3">
      <c r="A10" s="14" t="s">
        <v>233</v>
      </c>
      <c r="B10" s="14" t="s">
        <v>234</v>
      </c>
      <c r="C10" s="14" t="s">
        <v>235</v>
      </c>
    </row>
    <row r="11" spans="1:6" ht="55.95" customHeight="1" x14ac:dyDescent="0.3">
      <c r="A11" s="14" t="s">
        <v>236</v>
      </c>
      <c r="B11" s="14">
        <f>COUNTIF('Opportunity Database'!D2:D17,"Internship")</f>
        <v>7</v>
      </c>
      <c r="C11" s="14" t="s">
        <v>237</v>
      </c>
    </row>
    <row r="12" spans="1:6" ht="55.95" customHeight="1" x14ac:dyDescent="0.3">
      <c r="A12" s="14" t="s">
        <v>238</v>
      </c>
      <c r="B12" s="14">
        <f>COUNTIF('Opportunity Database'!D2:D17,"Volunteer Programme")</f>
        <v>9</v>
      </c>
      <c r="C12" s="14" t="s">
        <v>239</v>
      </c>
    </row>
    <row r="13" spans="1:6" ht="55.95" customHeight="1" x14ac:dyDescent="0.3">
      <c r="A13" s="14" t="s">
        <v>240</v>
      </c>
      <c r="B13" s="14">
        <f>COUNTIF('Opportunity Database'!O2:O17,"Open")</f>
        <v>1</v>
      </c>
      <c r="C13" s="14" t="s">
        <v>241</v>
      </c>
    </row>
    <row r="14" spans="1:6" ht="55.95" customHeight="1" x14ac:dyDescent="0.3">
      <c r="A14" s="14" t="s">
        <v>242</v>
      </c>
      <c r="B14" s="14">
        <f>COUNTIF('Opportunity Database'!O2:O17,"Unverified")</f>
        <v>15</v>
      </c>
      <c r="C14" s="14" t="s">
        <v>243</v>
      </c>
    </row>
    <row r="15" spans="1:6" ht="55.95" customHeight="1" x14ac:dyDescent="0.3">
      <c r="A15" s="14" t="s">
        <v>244</v>
      </c>
      <c r="B15" s="14">
        <f>COUNTIF('Opportunity Database'!N2:N17,"Not announced")</f>
        <v>16</v>
      </c>
      <c r="C15" s="14" t="s">
        <v>245</v>
      </c>
    </row>
    <row r="16" spans="1:6" ht="55.95" customHeight="1" x14ac:dyDescent="0.3">
      <c r="A16" s="14" t="s">
        <v>246</v>
      </c>
      <c r="B16" s="14">
        <f>COUNTIF('Opportunity Database'!M2:M17,"Unpaid*")</f>
        <v>8</v>
      </c>
      <c r="C16" s="14" t="s">
        <v>247</v>
      </c>
    </row>
    <row r="17" spans="1:6" ht="55.95" customHeight="1" x14ac:dyDescent="0.3">
      <c r="A17" s="14" t="s">
        <v>248</v>
      </c>
      <c r="B17" s="14" t="s">
        <v>249</v>
      </c>
      <c r="C17" s="14" t="s">
        <v>250</v>
      </c>
    </row>
    <row r="20" spans="1:6" ht="15.6" x14ac:dyDescent="0.3">
      <c r="A20" s="24" t="s">
        <v>251</v>
      </c>
      <c r="B20" s="25"/>
      <c r="C20" s="25"/>
      <c r="D20" s="25"/>
      <c r="E20" s="25"/>
      <c r="F20" s="25"/>
    </row>
    <row r="21" spans="1:6" ht="30" customHeight="1" x14ac:dyDescent="0.3">
      <c r="A21" s="22" t="s">
        <v>252</v>
      </c>
      <c r="B21" s="25"/>
      <c r="C21" s="25"/>
      <c r="D21" s="25"/>
      <c r="E21" s="25"/>
      <c r="F21" s="25"/>
    </row>
    <row r="22" spans="1:6" ht="30" customHeight="1" x14ac:dyDescent="0.3">
      <c r="A22" s="23" t="s">
        <v>253</v>
      </c>
      <c r="B22" s="25"/>
      <c r="C22" s="25"/>
      <c r="D22" s="25"/>
      <c r="E22" s="25"/>
      <c r="F22" s="25"/>
    </row>
    <row r="23" spans="1:6" ht="30" customHeight="1" x14ac:dyDescent="0.3">
      <c r="A23" s="22" t="s">
        <v>254</v>
      </c>
      <c r="B23" s="25"/>
      <c r="C23" s="25"/>
      <c r="D23" s="25"/>
      <c r="E23" s="25"/>
      <c r="F23" s="25"/>
    </row>
    <row r="24" spans="1:6" ht="30" customHeight="1" x14ac:dyDescent="0.3">
      <c r="A24" s="23" t="s">
        <v>255</v>
      </c>
      <c r="B24" s="25"/>
      <c r="C24" s="25"/>
      <c r="D24" s="25"/>
      <c r="E24" s="25"/>
      <c r="F24" s="25"/>
    </row>
    <row r="25" spans="1:6" ht="30" customHeight="1" x14ac:dyDescent="0.3">
      <c r="A25" s="22" t="s">
        <v>256</v>
      </c>
      <c r="B25" s="25"/>
      <c r="C25" s="25"/>
      <c r="D25" s="25"/>
      <c r="E25" s="25"/>
      <c r="F25" s="25"/>
    </row>
  </sheetData>
  <autoFilter ref="A1:F2" xr:uid="{00000000-0001-0000-0300-000000000000}">
    <filterColumn colId="0" showButton="0"/>
    <filterColumn colId="1" showButton="0"/>
    <filterColumn colId="2" showButton="0"/>
    <filterColumn colId="3" showButton="0"/>
    <filterColumn colId="4" showButton="0"/>
  </autoFilter>
  <mergeCells count="9">
    <mergeCell ref="A25:F25"/>
    <mergeCell ref="A24:F24"/>
    <mergeCell ref="A5:F7"/>
    <mergeCell ref="A23:F23"/>
    <mergeCell ref="A1:F2"/>
    <mergeCell ref="A22:F22"/>
    <mergeCell ref="A4:F4"/>
    <mergeCell ref="A20:F20"/>
    <mergeCell ref="A21:F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 Dashboard</vt:lpstr>
      <vt:lpstr>Opportunity Database</vt:lpstr>
      <vt:lpstr>Research Sources</vt:lpstr>
      <vt:lpstr>Insights &amp;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Arijit Chakraborty</cp:lastModifiedBy>
  <dcterms:created xsi:type="dcterms:W3CDTF">2026-09-28T13:28:49Z</dcterms:created>
  <dcterms:modified xsi:type="dcterms:W3CDTF">2026-09-28T14:04:48Z</dcterms:modified>
</cp:coreProperties>
</file>